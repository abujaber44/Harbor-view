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jaber/dev/Harbor-view/"/>
    </mc:Choice>
  </mc:AlternateContent>
  <xr:revisionPtr revIDLastSave="0" documentId="13_ncr:1_{0FA8A686-F1C4-8844-9989-29C1B79F5AB8}" xr6:coauthVersionLast="47" xr6:coauthVersionMax="47" xr10:uidLastSave="{00000000-0000-0000-0000-000000000000}"/>
  <bookViews>
    <workbookView xWindow="0" yWindow="780" windowWidth="36000" windowHeight="20920" tabRatio="774" activeTab="10" xr2:uid="{00000000-000D-0000-FFFF-FFFF00000000}"/>
  </bookViews>
  <sheets>
    <sheet name="Mon AM" sheetId="1" r:id="rId1"/>
    <sheet name="Mon PM" sheetId="2" r:id="rId2"/>
    <sheet name="Tues AM" sheetId="3" r:id="rId3"/>
    <sheet name="Tues PM" sheetId="4" r:id="rId4"/>
    <sheet name="Wed AM" sheetId="5" r:id="rId5"/>
    <sheet name="Wed PM" sheetId="6" r:id="rId6"/>
    <sheet name="Thurs AM" sheetId="7" r:id="rId7"/>
    <sheet name="Thurs PM" sheetId="8" r:id="rId8"/>
    <sheet name="Fri AM" sheetId="9" r:id="rId9"/>
    <sheet name="Fri PM" sheetId="10" r:id="rId10"/>
    <sheet name="Sat AM" sheetId="11" r:id="rId11"/>
    <sheet name="Sat PM" sheetId="12" r:id="rId12"/>
    <sheet name="Sun AM" sheetId="13" r:id="rId13"/>
    <sheet name="Sun PM" sheetId="14" r:id="rId14"/>
    <sheet name="Weekly Summary" sheetId="15" r:id="rId15"/>
    <sheet name="Weekly Gross" sheetId="16" r:id="rId16"/>
    <sheet name="Sheet1" sheetId="17" r:id="rId17"/>
    <sheet name="Sheet2" sheetId="18" r:id="rId18"/>
    <sheet name="Sheet3" sheetId="19" r:id="rId19"/>
  </sheets>
  <definedNames>
    <definedName name="_xlnm.Print_Area" localSheetId="16">Sheet1!$A$19:$G$33</definedName>
    <definedName name="_xlnm.Print_Area" localSheetId="18">Sheet3!$A$1:$F$28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9" l="1"/>
  <c r="K31" i="17"/>
  <c r="E26" i="17"/>
  <c r="E25" i="17"/>
  <c r="E24" i="17"/>
  <c r="E23" i="17"/>
  <c r="E22" i="17"/>
  <c r="E21" i="17"/>
  <c r="E28" i="17" s="1"/>
  <c r="E9" i="17"/>
  <c r="E8" i="17"/>
  <c r="E7" i="17"/>
  <c r="E6" i="17"/>
  <c r="E5" i="17"/>
  <c r="E4" i="17"/>
  <c r="E11" i="17" s="1"/>
  <c r="O34" i="16"/>
  <c r="C34" i="16"/>
  <c r="J39" i="15"/>
  <c r="H20" i="15"/>
  <c r="N2" i="15"/>
  <c r="B2" i="15"/>
  <c r="N48" i="14"/>
  <c r="S12" i="14" s="1"/>
  <c r="M48" i="14"/>
  <c r="S14" i="14" s="1"/>
  <c r="K48" i="14"/>
  <c r="J48" i="14"/>
  <c r="S10" i="14" s="1"/>
  <c r="C48" i="15" s="1"/>
  <c r="H34" i="16" s="1"/>
  <c r="I48" i="14"/>
  <c r="H48" i="14"/>
  <c r="G48" i="14"/>
  <c r="D48" i="14"/>
  <c r="F47" i="14"/>
  <c r="E47" i="14"/>
  <c r="L47" i="14" s="1"/>
  <c r="F46" i="14"/>
  <c r="E46" i="14"/>
  <c r="L46" i="14" s="1"/>
  <c r="F45" i="14"/>
  <c r="E45" i="14"/>
  <c r="L45" i="14" s="1"/>
  <c r="L44" i="14"/>
  <c r="F44" i="14"/>
  <c r="E44" i="14"/>
  <c r="F43" i="14"/>
  <c r="E43" i="14"/>
  <c r="L43" i="14" s="1"/>
  <c r="F42" i="14"/>
  <c r="E42" i="14"/>
  <c r="L42" i="14" s="1"/>
  <c r="F41" i="14"/>
  <c r="E41" i="14"/>
  <c r="L41" i="14" s="1"/>
  <c r="L40" i="14"/>
  <c r="F40" i="14"/>
  <c r="E40" i="14"/>
  <c r="F39" i="14"/>
  <c r="E39" i="14"/>
  <c r="L39" i="14" s="1"/>
  <c r="F38" i="14"/>
  <c r="E38" i="14"/>
  <c r="L38" i="14" s="1"/>
  <c r="F37" i="14"/>
  <c r="E37" i="14"/>
  <c r="L37" i="14" s="1"/>
  <c r="F36" i="14"/>
  <c r="E36" i="14"/>
  <c r="L36" i="14" s="1"/>
  <c r="L35" i="14"/>
  <c r="F35" i="14"/>
  <c r="E35" i="14"/>
  <c r="F34" i="14"/>
  <c r="E34" i="14"/>
  <c r="L34" i="14" s="1"/>
  <c r="F33" i="14"/>
  <c r="E33" i="14"/>
  <c r="L33" i="14" s="1"/>
  <c r="F32" i="14"/>
  <c r="E32" i="14"/>
  <c r="L32" i="14" s="1"/>
  <c r="F31" i="14"/>
  <c r="L31" i="14" s="1"/>
  <c r="E31" i="14"/>
  <c r="F30" i="14"/>
  <c r="E30" i="14"/>
  <c r="L30" i="14" s="1"/>
  <c r="F29" i="14"/>
  <c r="E29" i="14"/>
  <c r="L29" i="14" s="1"/>
  <c r="F28" i="14"/>
  <c r="E28" i="14"/>
  <c r="L28" i="14" s="1"/>
  <c r="L27" i="14"/>
  <c r="F27" i="14"/>
  <c r="E27" i="14"/>
  <c r="F26" i="14"/>
  <c r="E26" i="14"/>
  <c r="L26" i="14" s="1"/>
  <c r="F25" i="14"/>
  <c r="E25" i="14"/>
  <c r="L25" i="14" s="1"/>
  <c r="F24" i="14"/>
  <c r="E24" i="14"/>
  <c r="L24" i="14" s="1"/>
  <c r="F23" i="14"/>
  <c r="E23" i="14"/>
  <c r="L23" i="14" s="1"/>
  <c r="F22" i="14"/>
  <c r="E22" i="14"/>
  <c r="L22" i="14" s="1"/>
  <c r="F21" i="14"/>
  <c r="E21" i="14"/>
  <c r="L21" i="14" s="1"/>
  <c r="F20" i="14"/>
  <c r="E20" i="14"/>
  <c r="L20" i="14" s="1"/>
  <c r="S19" i="14" a="1"/>
  <c r="S19" i="14"/>
  <c r="F19" i="14"/>
  <c r="E19" i="14"/>
  <c r="L19" i="14" s="1"/>
  <c r="S18" i="14" a="1"/>
  <c r="S18" i="14" s="1"/>
  <c r="N34" i="16" s="1"/>
  <c r="F18" i="14"/>
  <c r="L18" i="14" s="1"/>
  <c r="E18" i="14"/>
  <c r="L17" i="14"/>
  <c r="F17" i="14"/>
  <c r="E17" i="14"/>
  <c r="L16" i="14"/>
  <c r="F16" i="14"/>
  <c r="E16" i="14"/>
  <c r="F15" i="14"/>
  <c r="L15" i="14" s="1"/>
  <c r="E15" i="14"/>
  <c r="L14" i="14"/>
  <c r="F14" i="14"/>
  <c r="E14" i="14"/>
  <c r="F13" i="14"/>
  <c r="E13" i="14"/>
  <c r="L13" i="14" s="1"/>
  <c r="L12" i="14"/>
  <c r="F12" i="14"/>
  <c r="E12" i="14"/>
  <c r="S11" i="14"/>
  <c r="C49" i="15" s="1"/>
  <c r="I34" i="16" s="1"/>
  <c r="F11" i="14"/>
  <c r="L11" i="14" s="1"/>
  <c r="E11" i="14"/>
  <c r="F10" i="14"/>
  <c r="E10" i="14"/>
  <c r="L10" i="14" s="1"/>
  <c r="S9" i="14"/>
  <c r="C47" i="15" s="1"/>
  <c r="G34" i="16" s="1"/>
  <c r="L9" i="14"/>
  <c r="F9" i="14"/>
  <c r="E9" i="14"/>
  <c r="S8" i="14"/>
  <c r="C44" i="15" s="1"/>
  <c r="L34" i="16" s="1"/>
  <c r="F8" i="14"/>
  <c r="L8" i="14" s="1"/>
  <c r="E8" i="14"/>
  <c r="S7" i="14"/>
  <c r="C43" i="15" s="1"/>
  <c r="K34" i="16" s="1"/>
  <c r="F7" i="14"/>
  <c r="E7" i="14"/>
  <c r="L7" i="14" s="1"/>
  <c r="L6" i="14"/>
  <c r="F6" i="14"/>
  <c r="E6" i="14"/>
  <c r="F5" i="14"/>
  <c r="E5" i="14"/>
  <c r="E48" i="14" s="1"/>
  <c r="S5" i="14" s="1"/>
  <c r="S4" i="14"/>
  <c r="C40" i="15" s="1"/>
  <c r="L4" i="14"/>
  <c r="F4" i="14"/>
  <c r="F48" i="14" s="1"/>
  <c r="S6" i="14" s="1"/>
  <c r="C42" i="15" s="1"/>
  <c r="E34" i="16" s="1"/>
  <c r="E4" i="14"/>
  <c r="B1" i="14"/>
  <c r="N48" i="13"/>
  <c r="M48" i="13"/>
  <c r="S14" i="13" s="1"/>
  <c r="Q36" i="16" s="1"/>
  <c r="K48" i="13"/>
  <c r="S11" i="13" s="1"/>
  <c r="B49" i="15" s="1"/>
  <c r="J48" i="13"/>
  <c r="S10" i="13" s="1"/>
  <c r="B48" i="15" s="1"/>
  <c r="I48" i="13"/>
  <c r="H48" i="13"/>
  <c r="S8" i="13" s="1"/>
  <c r="B44" i="15" s="1"/>
  <c r="G48" i="13"/>
  <c r="S7" i="13" s="1"/>
  <c r="B43" i="15" s="1"/>
  <c r="D48" i="13"/>
  <c r="F47" i="13"/>
  <c r="E47" i="13"/>
  <c r="L47" i="13" s="1"/>
  <c r="F46" i="13"/>
  <c r="E46" i="13"/>
  <c r="L46" i="13" s="1"/>
  <c r="L45" i="13"/>
  <c r="F45" i="13"/>
  <c r="E45" i="13"/>
  <c r="L44" i="13"/>
  <c r="F44" i="13"/>
  <c r="E44" i="13"/>
  <c r="F43" i="13"/>
  <c r="E43" i="13"/>
  <c r="L43" i="13" s="1"/>
  <c r="F42" i="13"/>
  <c r="E42" i="13"/>
  <c r="F41" i="13"/>
  <c r="E41" i="13"/>
  <c r="L41" i="13" s="1"/>
  <c r="F40" i="13"/>
  <c r="L40" i="13" s="1"/>
  <c r="E40" i="13"/>
  <c r="L39" i="13"/>
  <c r="F39" i="13"/>
  <c r="E39" i="13"/>
  <c r="F38" i="13"/>
  <c r="E38" i="13"/>
  <c r="L38" i="13" s="1"/>
  <c r="F37" i="13"/>
  <c r="E37" i="13"/>
  <c r="L37" i="13" s="1"/>
  <c r="F36" i="13"/>
  <c r="E36" i="13"/>
  <c r="L36" i="13" s="1"/>
  <c r="F35" i="13"/>
  <c r="L35" i="13" s="1"/>
  <c r="E35" i="13"/>
  <c r="F34" i="13"/>
  <c r="E34" i="13"/>
  <c r="L34" i="13" s="1"/>
  <c r="L33" i="13"/>
  <c r="F33" i="13"/>
  <c r="E33" i="13"/>
  <c r="L32" i="13"/>
  <c r="F32" i="13"/>
  <c r="E32" i="13"/>
  <c r="L31" i="13"/>
  <c r="F31" i="13"/>
  <c r="E31" i="13"/>
  <c r="F30" i="13"/>
  <c r="E30" i="13"/>
  <c r="F29" i="13"/>
  <c r="E29" i="13"/>
  <c r="L29" i="13" s="1"/>
  <c r="F28" i="13"/>
  <c r="E28" i="13"/>
  <c r="L28" i="13" s="1"/>
  <c r="F27" i="13"/>
  <c r="L27" i="13" s="1"/>
  <c r="E27" i="13"/>
  <c r="F26" i="13"/>
  <c r="E26" i="13"/>
  <c r="F25" i="13"/>
  <c r="E25" i="13"/>
  <c r="L25" i="13" s="1"/>
  <c r="F24" i="13"/>
  <c r="E24" i="13"/>
  <c r="L24" i="13" s="1"/>
  <c r="F23" i="13"/>
  <c r="E23" i="13"/>
  <c r="L23" i="13" s="1"/>
  <c r="F22" i="13"/>
  <c r="E22" i="13"/>
  <c r="L22" i="13" s="1"/>
  <c r="F21" i="13"/>
  <c r="E21" i="13"/>
  <c r="L21" i="13" s="1"/>
  <c r="F20" i="13"/>
  <c r="E20" i="13"/>
  <c r="L20" i="13" s="1"/>
  <c r="S19" i="13" a="1"/>
  <c r="S19" i="13" s="1"/>
  <c r="O33" i="16" s="1"/>
  <c r="F19" i="13"/>
  <c r="E19" i="13"/>
  <c r="S18" i="13" a="1"/>
  <c r="S18" i="13" s="1"/>
  <c r="F18" i="13"/>
  <c r="E18" i="13"/>
  <c r="L18" i="13" s="1"/>
  <c r="F17" i="13"/>
  <c r="E17" i="13"/>
  <c r="L17" i="13" s="1"/>
  <c r="F16" i="13"/>
  <c r="E16" i="13"/>
  <c r="L16" i="13" s="1"/>
  <c r="F15" i="13"/>
  <c r="L15" i="13" s="1"/>
  <c r="E15" i="13"/>
  <c r="F14" i="13"/>
  <c r="E14" i="13"/>
  <c r="L14" i="13" s="1"/>
  <c r="L13" i="13"/>
  <c r="F13" i="13"/>
  <c r="E13" i="13"/>
  <c r="S12" i="13"/>
  <c r="F12" i="13"/>
  <c r="L12" i="13" s="1"/>
  <c r="E12" i="13"/>
  <c r="F11" i="13"/>
  <c r="E11" i="13"/>
  <c r="L11" i="13" s="1"/>
  <c r="L10" i="13"/>
  <c r="F10" i="13"/>
  <c r="E10" i="13"/>
  <c r="S9" i="13"/>
  <c r="B47" i="15" s="1"/>
  <c r="F9" i="13"/>
  <c r="L9" i="13" s="1"/>
  <c r="E9" i="13"/>
  <c r="F8" i="13"/>
  <c r="E8" i="13"/>
  <c r="L8" i="13" s="1"/>
  <c r="L7" i="13"/>
  <c r="F7" i="13"/>
  <c r="E7" i="13"/>
  <c r="F6" i="13"/>
  <c r="L6" i="13" s="1"/>
  <c r="E6" i="13"/>
  <c r="F5" i="13"/>
  <c r="E5" i="13"/>
  <c r="L5" i="13" s="1"/>
  <c r="S4" i="13"/>
  <c r="B40" i="15" s="1"/>
  <c r="C33" i="16" s="1"/>
  <c r="C36" i="16" s="1"/>
  <c r="L4" i="13"/>
  <c r="F4" i="13"/>
  <c r="F48" i="13" s="1"/>
  <c r="S6" i="13" s="1"/>
  <c r="B42" i="15" s="1"/>
  <c r="E4" i="13"/>
  <c r="B1" i="13"/>
  <c r="N48" i="12"/>
  <c r="S12" i="12" s="1"/>
  <c r="M48" i="12"/>
  <c r="S14" i="12" s="1"/>
  <c r="K48" i="12"/>
  <c r="J48" i="12"/>
  <c r="I48" i="12"/>
  <c r="S9" i="12" s="1"/>
  <c r="O29" i="15" s="1"/>
  <c r="G29" i="16" s="1"/>
  <c r="H48" i="12"/>
  <c r="G48" i="12"/>
  <c r="D48" i="12"/>
  <c r="L47" i="12"/>
  <c r="F47" i="12"/>
  <c r="E47" i="12"/>
  <c r="F46" i="12"/>
  <c r="E46" i="12"/>
  <c r="L46" i="12" s="1"/>
  <c r="L45" i="12"/>
  <c r="F45" i="12"/>
  <c r="E45" i="12"/>
  <c r="L44" i="12"/>
  <c r="F44" i="12"/>
  <c r="E44" i="12"/>
  <c r="L43" i="12"/>
  <c r="F43" i="12"/>
  <c r="E43" i="12"/>
  <c r="F42" i="12"/>
  <c r="E42" i="12"/>
  <c r="L42" i="12" s="1"/>
  <c r="L41" i="12"/>
  <c r="F41" i="12"/>
  <c r="E41" i="12"/>
  <c r="L40" i="12"/>
  <c r="F40" i="12"/>
  <c r="E40" i="12"/>
  <c r="L39" i="12"/>
  <c r="F39" i="12"/>
  <c r="E39" i="12"/>
  <c r="F38" i="12"/>
  <c r="E38" i="12"/>
  <c r="L38" i="12" s="1"/>
  <c r="L37" i="12"/>
  <c r="F37" i="12"/>
  <c r="E37" i="12"/>
  <c r="L36" i="12"/>
  <c r="F36" i="12"/>
  <c r="E36" i="12"/>
  <c r="L35" i="12"/>
  <c r="F35" i="12"/>
  <c r="E35" i="12"/>
  <c r="F34" i="12"/>
  <c r="E34" i="12"/>
  <c r="L34" i="12" s="1"/>
  <c r="L33" i="12"/>
  <c r="F33" i="12"/>
  <c r="E33" i="12"/>
  <c r="L32" i="12"/>
  <c r="F32" i="12"/>
  <c r="E32" i="12"/>
  <c r="L31" i="12"/>
  <c r="F31" i="12"/>
  <c r="E31" i="12"/>
  <c r="F30" i="12"/>
  <c r="E30" i="12"/>
  <c r="L30" i="12" s="1"/>
  <c r="L29" i="12"/>
  <c r="F29" i="12"/>
  <c r="E29" i="12"/>
  <c r="L28" i="12"/>
  <c r="F28" i="12"/>
  <c r="E28" i="12"/>
  <c r="L27" i="12"/>
  <c r="F27" i="12"/>
  <c r="E27" i="12"/>
  <c r="F26" i="12"/>
  <c r="E26" i="12"/>
  <c r="L26" i="12" s="1"/>
  <c r="L25" i="12"/>
  <c r="F25" i="12"/>
  <c r="E25" i="12"/>
  <c r="L24" i="12"/>
  <c r="F24" i="12"/>
  <c r="E24" i="12"/>
  <c r="L23" i="12"/>
  <c r="F23" i="12"/>
  <c r="E23" i="12"/>
  <c r="F22" i="12"/>
  <c r="E22" i="12"/>
  <c r="L22" i="12" s="1"/>
  <c r="L21" i="12"/>
  <c r="F21" i="12"/>
  <c r="E21" i="12"/>
  <c r="F20" i="12"/>
  <c r="E20" i="12"/>
  <c r="L20" i="12" s="1"/>
  <c r="S19" i="12" a="1"/>
  <c r="S19" i="12"/>
  <c r="O29" i="16" s="1"/>
  <c r="F19" i="12"/>
  <c r="E19" i="12"/>
  <c r="L19" i="12" s="1"/>
  <c r="S18" i="12" a="1"/>
  <c r="S18" i="12" s="1"/>
  <c r="F18" i="12"/>
  <c r="E18" i="12"/>
  <c r="L18" i="12" s="1"/>
  <c r="F17" i="12"/>
  <c r="E17" i="12"/>
  <c r="L17" i="12" s="1"/>
  <c r="F16" i="12"/>
  <c r="L16" i="12" s="1"/>
  <c r="E16" i="12"/>
  <c r="F15" i="12"/>
  <c r="E15" i="12"/>
  <c r="L15" i="12" s="1"/>
  <c r="F14" i="12"/>
  <c r="L14" i="12" s="1"/>
  <c r="E14" i="12"/>
  <c r="L13" i="12"/>
  <c r="F13" i="12"/>
  <c r="E13" i="12"/>
  <c r="F12" i="12"/>
  <c r="E12" i="12"/>
  <c r="L12" i="12" s="1"/>
  <c r="S11" i="12"/>
  <c r="O31" i="15" s="1"/>
  <c r="I29" i="16" s="1"/>
  <c r="F11" i="12"/>
  <c r="L11" i="12" s="1"/>
  <c r="E11" i="12"/>
  <c r="S10" i="12"/>
  <c r="O30" i="15" s="1"/>
  <c r="H29" i="16" s="1"/>
  <c r="L10" i="12"/>
  <c r="F10" i="12"/>
  <c r="E10" i="12"/>
  <c r="F9" i="12"/>
  <c r="E9" i="12"/>
  <c r="L9" i="12" s="1"/>
  <c r="S8" i="12"/>
  <c r="O26" i="15" s="1"/>
  <c r="L29" i="16" s="1"/>
  <c r="F8" i="12"/>
  <c r="L8" i="12" s="1"/>
  <c r="E8" i="12"/>
  <c r="S7" i="12"/>
  <c r="O25" i="15" s="1"/>
  <c r="K29" i="16" s="1"/>
  <c r="L7" i="12"/>
  <c r="F7" i="12"/>
  <c r="E7" i="12"/>
  <c r="F6" i="12"/>
  <c r="E6" i="12"/>
  <c r="L6" i="12" s="1"/>
  <c r="F5" i="12"/>
  <c r="L5" i="12" s="1"/>
  <c r="E5" i="12"/>
  <c r="S4" i="12"/>
  <c r="O22" i="15" s="1"/>
  <c r="C29" i="16" s="1"/>
  <c r="L4" i="12"/>
  <c r="F4" i="12"/>
  <c r="E4" i="12"/>
  <c r="E48" i="12" s="1"/>
  <c r="S5" i="12" s="1"/>
  <c r="B1" i="12"/>
  <c r="N48" i="11"/>
  <c r="M48" i="11"/>
  <c r="K48" i="11"/>
  <c r="J48" i="11"/>
  <c r="I48" i="11"/>
  <c r="S9" i="11" s="1"/>
  <c r="N29" i="15" s="1"/>
  <c r="H48" i="11"/>
  <c r="G48" i="11"/>
  <c r="D48" i="11"/>
  <c r="F47" i="11"/>
  <c r="E47" i="11"/>
  <c r="L47" i="11" s="1"/>
  <c r="L46" i="11"/>
  <c r="F46" i="11"/>
  <c r="E46" i="11"/>
  <c r="L45" i="11"/>
  <c r="F45" i="11"/>
  <c r="E45" i="11"/>
  <c r="L44" i="11"/>
  <c r="F44" i="11"/>
  <c r="E44" i="11"/>
  <c r="F43" i="11"/>
  <c r="E43" i="11"/>
  <c r="L43" i="11" s="1"/>
  <c r="L42" i="11"/>
  <c r="F42" i="11"/>
  <c r="E42" i="11"/>
  <c r="L41" i="11"/>
  <c r="F41" i="11"/>
  <c r="E41" i="11"/>
  <c r="L40" i="11"/>
  <c r="F40" i="11"/>
  <c r="E40" i="11"/>
  <c r="F39" i="11"/>
  <c r="E39" i="11"/>
  <c r="L39" i="11" s="1"/>
  <c r="L38" i="11"/>
  <c r="F38" i="11"/>
  <c r="E38" i="11"/>
  <c r="L37" i="11"/>
  <c r="F37" i="11"/>
  <c r="E37" i="11"/>
  <c r="L36" i="11"/>
  <c r="F36" i="11"/>
  <c r="E36" i="11"/>
  <c r="F35" i="11"/>
  <c r="E35" i="11"/>
  <c r="L35" i="11" s="1"/>
  <c r="L34" i="11"/>
  <c r="F34" i="11"/>
  <c r="E34" i="11"/>
  <c r="L33" i="11"/>
  <c r="F33" i="11"/>
  <c r="E33" i="11"/>
  <c r="L32" i="11"/>
  <c r="F32" i="11"/>
  <c r="E32" i="11"/>
  <c r="F31" i="11"/>
  <c r="E31" i="11"/>
  <c r="L31" i="11" s="1"/>
  <c r="L30" i="11"/>
  <c r="F30" i="11"/>
  <c r="E30" i="11"/>
  <c r="L29" i="11"/>
  <c r="F29" i="11"/>
  <c r="E29" i="11"/>
  <c r="L28" i="11"/>
  <c r="F28" i="11"/>
  <c r="E28" i="11"/>
  <c r="F27" i="11"/>
  <c r="E27" i="11"/>
  <c r="L27" i="11" s="1"/>
  <c r="L26" i="11"/>
  <c r="F26" i="11"/>
  <c r="E26" i="11"/>
  <c r="L25" i="11"/>
  <c r="F25" i="11"/>
  <c r="E25" i="11"/>
  <c r="L24" i="11"/>
  <c r="F24" i="11"/>
  <c r="E24" i="11"/>
  <c r="F23" i="11"/>
  <c r="E23" i="11"/>
  <c r="L23" i="11" s="1"/>
  <c r="L22" i="11"/>
  <c r="F22" i="11"/>
  <c r="E22" i="11"/>
  <c r="L21" i="11"/>
  <c r="F21" i="11"/>
  <c r="E21" i="11"/>
  <c r="F20" i="11"/>
  <c r="L20" i="11" s="1"/>
  <c r="E20" i="11"/>
  <c r="S19" i="11" a="1"/>
  <c r="S19" i="11"/>
  <c r="O28" i="16" s="1"/>
  <c r="L19" i="11"/>
  <c r="F19" i="11"/>
  <c r="E19" i="11"/>
  <c r="S18" i="11" a="1"/>
  <c r="S18" i="11" s="1"/>
  <c r="N28" i="16" s="1"/>
  <c r="F18" i="11"/>
  <c r="E18" i="11"/>
  <c r="L18" i="11" s="1"/>
  <c r="F17" i="11"/>
  <c r="L17" i="11" s="1"/>
  <c r="E17" i="11"/>
  <c r="F16" i="11"/>
  <c r="E16" i="11"/>
  <c r="L16" i="11" s="1"/>
  <c r="F15" i="11"/>
  <c r="L15" i="11" s="1"/>
  <c r="E15" i="11"/>
  <c r="S14" i="11"/>
  <c r="F14" i="11"/>
  <c r="L14" i="11" s="1"/>
  <c r="E14" i="11"/>
  <c r="F13" i="11"/>
  <c r="E13" i="11"/>
  <c r="L13" i="11" s="1"/>
  <c r="S12" i="11"/>
  <c r="F12" i="11"/>
  <c r="L12" i="11" s="1"/>
  <c r="E12" i="11"/>
  <c r="S11" i="11"/>
  <c r="N31" i="15" s="1"/>
  <c r="F11" i="11"/>
  <c r="L11" i="11" s="1"/>
  <c r="E11" i="11"/>
  <c r="S10" i="11"/>
  <c r="N30" i="15" s="1"/>
  <c r="F10" i="11"/>
  <c r="E10" i="11"/>
  <c r="L10" i="11" s="1"/>
  <c r="F9" i="11"/>
  <c r="L9" i="11" s="1"/>
  <c r="E9" i="11"/>
  <c r="S8" i="11"/>
  <c r="N26" i="15" s="1"/>
  <c r="F8" i="11"/>
  <c r="L8" i="11" s="1"/>
  <c r="E8" i="11"/>
  <c r="S7" i="11"/>
  <c r="N25" i="15" s="1"/>
  <c r="F7" i="11"/>
  <c r="E7" i="11"/>
  <c r="L7" i="11" s="1"/>
  <c r="F6" i="11"/>
  <c r="L6" i="11" s="1"/>
  <c r="E6" i="11"/>
  <c r="F5" i="11"/>
  <c r="L5" i="11" s="1"/>
  <c r="E5" i="11"/>
  <c r="S4" i="11"/>
  <c r="N22" i="15" s="1"/>
  <c r="F4" i="11"/>
  <c r="E4" i="11"/>
  <c r="L4" i="11" s="1"/>
  <c r="B1" i="11"/>
  <c r="N48" i="10"/>
  <c r="M48" i="10"/>
  <c r="S14" i="10" s="1"/>
  <c r="K48" i="10"/>
  <c r="S11" i="10" s="1"/>
  <c r="I31" i="15" s="1"/>
  <c r="I24" i="16" s="1"/>
  <c r="J48" i="10"/>
  <c r="I48" i="10"/>
  <c r="H48" i="10"/>
  <c r="S8" i="10" s="1"/>
  <c r="I26" i="15" s="1"/>
  <c r="L24" i="16" s="1"/>
  <c r="G48" i="10"/>
  <c r="D48" i="10"/>
  <c r="F47" i="10"/>
  <c r="E47" i="10"/>
  <c r="L47" i="10" s="1"/>
  <c r="F46" i="10"/>
  <c r="E46" i="10"/>
  <c r="L46" i="10" s="1"/>
  <c r="F45" i="10"/>
  <c r="E45" i="10"/>
  <c r="L45" i="10" s="1"/>
  <c r="L44" i="10"/>
  <c r="F44" i="10"/>
  <c r="E44" i="10"/>
  <c r="F43" i="10"/>
  <c r="E43" i="10"/>
  <c r="L43" i="10" s="1"/>
  <c r="F42" i="10"/>
  <c r="E42" i="10"/>
  <c r="F41" i="10"/>
  <c r="L41" i="10" s="1"/>
  <c r="E41" i="10"/>
  <c r="L40" i="10"/>
  <c r="F40" i="10"/>
  <c r="E40" i="10"/>
  <c r="L39" i="10"/>
  <c r="F39" i="10"/>
  <c r="E39" i="10"/>
  <c r="F38" i="10"/>
  <c r="E38" i="10"/>
  <c r="F37" i="10"/>
  <c r="E37" i="10"/>
  <c r="L37" i="10" s="1"/>
  <c r="L36" i="10"/>
  <c r="F36" i="10"/>
  <c r="E36" i="10"/>
  <c r="L35" i="10"/>
  <c r="F35" i="10"/>
  <c r="E35" i="10"/>
  <c r="F34" i="10"/>
  <c r="E34" i="10"/>
  <c r="L34" i="10" s="1"/>
  <c r="F33" i="10"/>
  <c r="E33" i="10"/>
  <c r="L33" i="10" s="1"/>
  <c r="F32" i="10"/>
  <c r="E32" i="10"/>
  <c r="L32" i="10" s="1"/>
  <c r="L31" i="10"/>
  <c r="F31" i="10"/>
  <c r="E31" i="10"/>
  <c r="F30" i="10"/>
  <c r="E30" i="10"/>
  <c r="L30" i="10" s="1"/>
  <c r="L29" i="10"/>
  <c r="F29" i="10"/>
  <c r="E29" i="10"/>
  <c r="F28" i="10"/>
  <c r="E28" i="10"/>
  <c r="L28" i="10" s="1"/>
  <c r="L27" i="10"/>
  <c r="F27" i="10"/>
  <c r="E27" i="10"/>
  <c r="F26" i="10"/>
  <c r="E26" i="10"/>
  <c r="F25" i="10"/>
  <c r="E25" i="10"/>
  <c r="L25" i="10" s="1"/>
  <c r="F24" i="10"/>
  <c r="E24" i="10"/>
  <c r="F23" i="10"/>
  <c r="E23" i="10"/>
  <c r="L23" i="10" s="1"/>
  <c r="F22" i="10"/>
  <c r="E22" i="10"/>
  <c r="F21" i="10"/>
  <c r="E21" i="10"/>
  <c r="L21" i="10" s="1"/>
  <c r="F20" i="10"/>
  <c r="E20" i="10"/>
  <c r="S19" i="10" a="1"/>
  <c r="S19" i="10"/>
  <c r="O24" i="16" s="1"/>
  <c r="F19" i="10"/>
  <c r="E19" i="10"/>
  <c r="S18" i="10" a="1"/>
  <c r="S18" i="10" s="1"/>
  <c r="F18" i="10"/>
  <c r="E18" i="10"/>
  <c r="L18" i="10" s="1"/>
  <c r="F17" i="10"/>
  <c r="E17" i="10"/>
  <c r="L17" i="10" s="1"/>
  <c r="L16" i="10"/>
  <c r="F16" i="10"/>
  <c r="E16" i="10"/>
  <c r="L15" i="10"/>
  <c r="F15" i="10"/>
  <c r="E15" i="10"/>
  <c r="L14" i="10"/>
  <c r="F14" i="10"/>
  <c r="E14" i="10"/>
  <c r="F13" i="10"/>
  <c r="L13" i="10" s="1"/>
  <c r="E13" i="10"/>
  <c r="S12" i="10"/>
  <c r="L12" i="10"/>
  <c r="F12" i="10"/>
  <c r="E12" i="10"/>
  <c r="L11" i="10"/>
  <c r="F11" i="10"/>
  <c r="E11" i="10"/>
  <c r="S10" i="10"/>
  <c r="I30" i="15" s="1"/>
  <c r="H24" i="16" s="1"/>
  <c r="L10" i="10"/>
  <c r="F10" i="10"/>
  <c r="E10" i="10"/>
  <c r="S9" i="10"/>
  <c r="I29" i="15" s="1"/>
  <c r="G24" i="16" s="1"/>
  <c r="L9" i="10"/>
  <c r="F9" i="10"/>
  <c r="E9" i="10"/>
  <c r="L8" i="10"/>
  <c r="F8" i="10"/>
  <c r="E8" i="10"/>
  <c r="S7" i="10"/>
  <c r="I25" i="15" s="1"/>
  <c r="L7" i="10"/>
  <c r="F7" i="10"/>
  <c r="E7" i="10"/>
  <c r="L6" i="10"/>
  <c r="F6" i="10"/>
  <c r="E6" i="10"/>
  <c r="L5" i="10"/>
  <c r="F5" i="10"/>
  <c r="E5" i="10"/>
  <c r="S4" i="10"/>
  <c r="I22" i="15" s="1"/>
  <c r="C24" i="16" s="1"/>
  <c r="F4" i="10"/>
  <c r="F48" i="10" s="1"/>
  <c r="S6" i="10" s="1"/>
  <c r="I24" i="15" s="1"/>
  <c r="E24" i="16" s="1"/>
  <c r="E4" i="10"/>
  <c r="B1" i="10"/>
  <c r="N48" i="8"/>
  <c r="S12" i="8" s="1"/>
  <c r="M48" i="8"/>
  <c r="K48" i="8"/>
  <c r="J48" i="8"/>
  <c r="I48" i="8"/>
  <c r="S9" i="8" s="1"/>
  <c r="C29" i="15" s="1"/>
  <c r="G19" i="16" s="1"/>
  <c r="H48" i="8"/>
  <c r="G48" i="8"/>
  <c r="D48" i="8"/>
  <c r="L47" i="8"/>
  <c r="F47" i="8"/>
  <c r="E47" i="8"/>
  <c r="F46" i="8"/>
  <c r="E46" i="8"/>
  <c r="L46" i="8" s="1"/>
  <c r="F45" i="8"/>
  <c r="E45" i="8"/>
  <c r="L45" i="8" s="1"/>
  <c r="L44" i="8"/>
  <c r="F44" i="8"/>
  <c r="E44" i="8"/>
  <c r="L43" i="8"/>
  <c r="F43" i="8"/>
  <c r="E43" i="8"/>
  <c r="F42" i="8"/>
  <c r="E42" i="8"/>
  <c r="L42" i="8" s="1"/>
  <c r="F41" i="8"/>
  <c r="E41" i="8"/>
  <c r="L41" i="8" s="1"/>
  <c r="F40" i="8"/>
  <c r="L40" i="8" s="1"/>
  <c r="E40" i="8"/>
  <c r="L39" i="8"/>
  <c r="F39" i="8"/>
  <c r="E39" i="8"/>
  <c r="F38" i="8"/>
  <c r="E38" i="8"/>
  <c r="L38" i="8" s="1"/>
  <c r="F37" i="8"/>
  <c r="E37" i="8"/>
  <c r="L37" i="8" s="1"/>
  <c r="L36" i="8"/>
  <c r="F36" i="8"/>
  <c r="E36" i="8"/>
  <c r="L35" i="8"/>
  <c r="F35" i="8"/>
  <c r="E35" i="8"/>
  <c r="F34" i="8"/>
  <c r="E34" i="8"/>
  <c r="L34" i="8" s="1"/>
  <c r="F33" i="8"/>
  <c r="E33" i="8"/>
  <c r="L33" i="8" s="1"/>
  <c r="F32" i="8"/>
  <c r="L32" i="8" s="1"/>
  <c r="E32" i="8"/>
  <c r="L31" i="8"/>
  <c r="F31" i="8"/>
  <c r="E31" i="8"/>
  <c r="F30" i="8"/>
  <c r="E30" i="8"/>
  <c r="L30" i="8" s="1"/>
  <c r="F29" i="8"/>
  <c r="E29" i="8"/>
  <c r="L29" i="8" s="1"/>
  <c r="L28" i="8"/>
  <c r="F28" i="8"/>
  <c r="E28" i="8"/>
  <c r="L27" i="8"/>
  <c r="F27" i="8"/>
  <c r="E27" i="8"/>
  <c r="F26" i="8"/>
  <c r="E26" i="8"/>
  <c r="L26" i="8" s="1"/>
  <c r="F25" i="8"/>
  <c r="E25" i="8"/>
  <c r="L25" i="8" s="1"/>
  <c r="F24" i="8"/>
  <c r="L24" i="8" s="1"/>
  <c r="E24" i="8"/>
  <c r="L23" i="8"/>
  <c r="F23" i="8"/>
  <c r="E23" i="8"/>
  <c r="F22" i="8"/>
  <c r="E22" i="8"/>
  <c r="L22" i="8" s="1"/>
  <c r="F21" i="8"/>
  <c r="E21" i="8"/>
  <c r="L21" i="8" s="1"/>
  <c r="F20" i="8"/>
  <c r="E20" i="8"/>
  <c r="E48" i="8" s="1"/>
  <c r="S5" i="8" s="1"/>
  <c r="S19" i="8" a="1"/>
  <c r="S19" i="8" s="1"/>
  <c r="O19" i="16" s="1"/>
  <c r="F19" i="8"/>
  <c r="E19" i="8"/>
  <c r="L19" i="8" s="1"/>
  <c r="S18" i="8" a="1"/>
  <c r="S18" i="8" s="1"/>
  <c r="N19" i="16" s="1"/>
  <c r="L18" i="8"/>
  <c r="F18" i="8"/>
  <c r="E18" i="8"/>
  <c r="F17" i="8"/>
  <c r="E17" i="8"/>
  <c r="L17" i="8" s="1"/>
  <c r="L16" i="8"/>
  <c r="F16" i="8"/>
  <c r="E16" i="8"/>
  <c r="F15" i="8"/>
  <c r="E15" i="8"/>
  <c r="L15" i="8" s="1"/>
  <c r="S14" i="8"/>
  <c r="L14" i="8"/>
  <c r="F14" i="8"/>
  <c r="E14" i="8"/>
  <c r="L13" i="8"/>
  <c r="F13" i="8"/>
  <c r="E13" i="8"/>
  <c r="F12" i="8"/>
  <c r="E12" i="8"/>
  <c r="L12" i="8" s="1"/>
  <c r="S11" i="8"/>
  <c r="C31" i="15" s="1"/>
  <c r="I19" i="16" s="1"/>
  <c r="L11" i="8"/>
  <c r="F11" i="8"/>
  <c r="E11" i="8"/>
  <c r="S10" i="8"/>
  <c r="C30" i="15" s="1"/>
  <c r="H19" i="16" s="1"/>
  <c r="L10" i="8"/>
  <c r="F10" i="8"/>
  <c r="E10" i="8"/>
  <c r="F9" i="8"/>
  <c r="E9" i="8"/>
  <c r="L9" i="8" s="1"/>
  <c r="S8" i="8"/>
  <c r="C26" i="15" s="1"/>
  <c r="L19" i="16" s="1"/>
  <c r="F8" i="8"/>
  <c r="F48" i="8" s="1"/>
  <c r="S6" i="8" s="1"/>
  <c r="C24" i="15" s="1"/>
  <c r="E19" i="16" s="1"/>
  <c r="E8" i="8"/>
  <c r="S7" i="8"/>
  <c r="C25" i="15" s="1"/>
  <c r="L7" i="8"/>
  <c r="F7" i="8"/>
  <c r="E7" i="8"/>
  <c r="F6" i="8"/>
  <c r="E6" i="8"/>
  <c r="L6" i="8" s="1"/>
  <c r="L5" i="8"/>
  <c r="F5" i="8"/>
  <c r="E5" i="8"/>
  <c r="S4" i="8"/>
  <c r="C22" i="15" s="1"/>
  <c r="C19" i="16" s="1"/>
  <c r="L4" i="8"/>
  <c r="F4" i="8"/>
  <c r="E4" i="8"/>
  <c r="B1" i="8"/>
  <c r="N48" i="7"/>
  <c r="M48" i="7"/>
  <c r="K48" i="7"/>
  <c r="J48" i="7"/>
  <c r="S10" i="7" s="1"/>
  <c r="B30" i="15" s="1"/>
  <c r="I48" i="7"/>
  <c r="S9" i="7" s="1"/>
  <c r="B29" i="15" s="1"/>
  <c r="H48" i="7"/>
  <c r="G48" i="7"/>
  <c r="S7" i="7" s="1"/>
  <c r="B25" i="15" s="1"/>
  <c r="D48" i="7"/>
  <c r="F47" i="7"/>
  <c r="E47" i="7"/>
  <c r="L47" i="7" s="1"/>
  <c r="F46" i="7"/>
  <c r="E46" i="7"/>
  <c r="L46" i="7" s="1"/>
  <c r="F45" i="7"/>
  <c r="E45" i="7"/>
  <c r="L45" i="7" s="1"/>
  <c r="L44" i="7"/>
  <c r="F44" i="7"/>
  <c r="E44" i="7"/>
  <c r="F43" i="7"/>
  <c r="E43" i="7"/>
  <c r="L43" i="7" s="1"/>
  <c r="F42" i="7"/>
  <c r="E42" i="7"/>
  <c r="L42" i="7" s="1"/>
  <c r="L41" i="7"/>
  <c r="F41" i="7"/>
  <c r="E41" i="7"/>
  <c r="L40" i="7"/>
  <c r="F40" i="7"/>
  <c r="E40" i="7"/>
  <c r="F39" i="7"/>
  <c r="E39" i="7"/>
  <c r="L39" i="7" s="1"/>
  <c r="F38" i="7"/>
  <c r="E38" i="7"/>
  <c r="L38" i="7" s="1"/>
  <c r="F37" i="7"/>
  <c r="E37" i="7"/>
  <c r="L37" i="7" s="1"/>
  <c r="L36" i="7"/>
  <c r="F36" i="7"/>
  <c r="E36" i="7"/>
  <c r="F35" i="7"/>
  <c r="E35" i="7"/>
  <c r="L35" i="7" s="1"/>
  <c r="F34" i="7"/>
  <c r="E34" i="7"/>
  <c r="L34" i="7" s="1"/>
  <c r="F33" i="7"/>
  <c r="E33" i="7"/>
  <c r="L33" i="7" s="1"/>
  <c r="L32" i="7"/>
  <c r="F32" i="7"/>
  <c r="E32" i="7"/>
  <c r="F31" i="7"/>
  <c r="E31" i="7"/>
  <c r="L31" i="7" s="1"/>
  <c r="F30" i="7"/>
  <c r="E30" i="7"/>
  <c r="F29" i="7"/>
  <c r="E29" i="7"/>
  <c r="L29" i="7" s="1"/>
  <c r="L28" i="7"/>
  <c r="F28" i="7"/>
  <c r="E28" i="7"/>
  <c r="F27" i="7"/>
  <c r="E27" i="7"/>
  <c r="L27" i="7" s="1"/>
  <c r="F26" i="7"/>
  <c r="E26" i="7"/>
  <c r="L25" i="7"/>
  <c r="F25" i="7"/>
  <c r="E25" i="7"/>
  <c r="L24" i="7"/>
  <c r="F24" i="7"/>
  <c r="E24" i="7"/>
  <c r="F23" i="7"/>
  <c r="E23" i="7"/>
  <c r="L23" i="7" s="1"/>
  <c r="F22" i="7"/>
  <c r="E22" i="7"/>
  <c r="F21" i="7"/>
  <c r="E21" i="7"/>
  <c r="L21" i="7" s="1"/>
  <c r="L20" i="7"/>
  <c r="F20" i="7"/>
  <c r="E20" i="7"/>
  <c r="S19" i="7" a="1"/>
  <c r="S19" i="7"/>
  <c r="O18" i="16" s="1"/>
  <c r="F19" i="7"/>
  <c r="E19" i="7"/>
  <c r="L19" i="7" s="1"/>
  <c r="S18" i="7" a="1"/>
  <c r="S18" i="7" s="1"/>
  <c r="N18" i="16" s="1"/>
  <c r="F18" i="7"/>
  <c r="E18" i="7"/>
  <c r="L18" i="7" s="1"/>
  <c r="L17" i="7"/>
  <c r="F17" i="7"/>
  <c r="E17" i="7"/>
  <c r="F16" i="7"/>
  <c r="E16" i="7"/>
  <c r="L16" i="7" s="1"/>
  <c r="L15" i="7"/>
  <c r="F15" i="7"/>
  <c r="E15" i="7"/>
  <c r="S14" i="7"/>
  <c r="Q21" i="16" s="1"/>
  <c r="F14" i="7"/>
  <c r="E14" i="7"/>
  <c r="L14" i="7" s="1"/>
  <c r="F13" i="7"/>
  <c r="E13" i="7"/>
  <c r="L13" i="7" s="1"/>
  <c r="S12" i="7"/>
  <c r="F12" i="7"/>
  <c r="L12" i="7" s="1"/>
  <c r="E12" i="7"/>
  <c r="S11" i="7"/>
  <c r="B31" i="15" s="1"/>
  <c r="L11" i="7"/>
  <c r="F11" i="7"/>
  <c r="E11" i="7"/>
  <c r="F10" i="7"/>
  <c r="E10" i="7"/>
  <c r="L10" i="7" s="1"/>
  <c r="L9" i="7"/>
  <c r="F9" i="7"/>
  <c r="E9" i="7"/>
  <c r="S8" i="7"/>
  <c r="B26" i="15" s="1"/>
  <c r="L8" i="7"/>
  <c r="F8" i="7"/>
  <c r="F48" i="7" s="1"/>
  <c r="S6" i="7" s="1"/>
  <c r="B24" i="15" s="1"/>
  <c r="E8" i="7"/>
  <c r="F7" i="7"/>
  <c r="E7" i="7"/>
  <c r="L7" i="7" s="1"/>
  <c r="L6" i="7"/>
  <c r="F6" i="7"/>
  <c r="E6" i="7"/>
  <c r="F5" i="7"/>
  <c r="E5" i="7"/>
  <c r="L5" i="7" s="1"/>
  <c r="S4" i="7"/>
  <c r="B22" i="15" s="1"/>
  <c r="F4" i="7"/>
  <c r="E4" i="7"/>
  <c r="B1" i="7"/>
  <c r="N48" i="6"/>
  <c r="M48" i="6"/>
  <c r="K48" i="6"/>
  <c r="J48" i="6"/>
  <c r="S10" i="6" s="1"/>
  <c r="O12" i="15" s="1"/>
  <c r="H14" i="16" s="1"/>
  <c r="I48" i="6"/>
  <c r="H48" i="6"/>
  <c r="G48" i="6"/>
  <c r="D48" i="6"/>
  <c r="L47" i="6"/>
  <c r="F47" i="6"/>
  <c r="E47" i="6"/>
  <c r="F46" i="6"/>
  <c r="E46" i="6"/>
  <c r="F45" i="6"/>
  <c r="E45" i="6"/>
  <c r="L45" i="6" s="1"/>
  <c r="L44" i="6"/>
  <c r="F44" i="6"/>
  <c r="E44" i="6"/>
  <c r="F43" i="6"/>
  <c r="E43" i="6"/>
  <c r="L43" i="6" s="1"/>
  <c r="F42" i="6"/>
  <c r="E42" i="6"/>
  <c r="L41" i="6"/>
  <c r="F41" i="6"/>
  <c r="E41" i="6"/>
  <c r="F40" i="6"/>
  <c r="L40" i="6" s="1"/>
  <c r="E40" i="6"/>
  <c r="F39" i="6"/>
  <c r="E39" i="6"/>
  <c r="L39" i="6" s="1"/>
  <c r="F38" i="6"/>
  <c r="E38" i="6"/>
  <c r="L38" i="6" s="1"/>
  <c r="F37" i="6"/>
  <c r="E37" i="6"/>
  <c r="L37" i="6" s="1"/>
  <c r="L36" i="6"/>
  <c r="F36" i="6"/>
  <c r="E36" i="6"/>
  <c r="F35" i="6"/>
  <c r="L35" i="6" s="1"/>
  <c r="E35" i="6"/>
  <c r="F34" i="6"/>
  <c r="E34" i="6"/>
  <c r="F33" i="6"/>
  <c r="E33" i="6"/>
  <c r="L33" i="6" s="1"/>
  <c r="F32" i="6"/>
  <c r="E32" i="6"/>
  <c r="L32" i="6" s="1"/>
  <c r="L31" i="6"/>
  <c r="F31" i="6"/>
  <c r="E31" i="6"/>
  <c r="F30" i="6"/>
  <c r="E30" i="6"/>
  <c r="L30" i="6" s="1"/>
  <c r="F29" i="6"/>
  <c r="E29" i="6"/>
  <c r="L29" i="6" s="1"/>
  <c r="L28" i="6"/>
  <c r="F28" i="6"/>
  <c r="E28" i="6"/>
  <c r="L27" i="6"/>
  <c r="F27" i="6"/>
  <c r="E27" i="6"/>
  <c r="F26" i="6"/>
  <c r="E26" i="6"/>
  <c r="L25" i="6"/>
  <c r="F25" i="6"/>
  <c r="E25" i="6"/>
  <c r="F24" i="6"/>
  <c r="E24" i="6"/>
  <c r="L24" i="6" s="1"/>
  <c r="F23" i="6"/>
  <c r="E23" i="6"/>
  <c r="L23" i="6" s="1"/>
  <c r="F22" i="6"/>
  <c r="E22" i="6"/>
  <c r="L22" i="6" s="1"/>
  <c r="F21" i="6"/>
  <c r="E21" i="6"/>
  <c r="F20" i="6"/>
  <c r="E20" i="6"/>
  <c r="L20" i="6" s="1"/>
  <c r="S19" i="6" a="1"/>
  <c r="S19" i="6" s="1"/>
  <c r="F19" i="6"/>
  <c r="E19" i="6"/>
  <c r="S18" i="6" a="1"/>
  <c r="S18" i="6" s="1"/>
  <c r="N14" i="16" s="1"/>
  <c r="F18" i="6"/>
  <c r="E18" i="6"/>
  <c r="L18" i="6" s="1"/>
  <c r="F17" i="6"/>
  <c r="E17" i="6"/>
  <c r="L17" i="6" s="1"/>
  <c r="L16" i="6"/>
  <c r="F16" i="6"/>
  <c r="E16" i="6"/>
  <c r="F15" i="6"/>
  <c r="L15" i="6" s="1"/>
  <c r="E15" i="6"/>
  <c r="S14" i="6"/>
  <c r="F14" i="6"/>
  <c r="E14" i="6"/>
  <c r="L14" i="6" s="1"/>
  <c r="L13" i="6"/>
  <c r="F13" i="6"/>
  <c r="E13" i="6"/>
  <c r="S12" i="6"/>
  <c r="F12" i="6"/>
  <c r="L12" i="6" s="1"/>
  <c r="E12" i="6"/>
  <c r="S11" i="6"/>
  <c r="O13" i="15" s="1"/>
  <c r="I14" i="16" s="1"/>
  <c r="F11" i="6"/>
  <c r="E11" i="6"/>
  <c r="L11" i="6" s="1"/>
  <c r="L10" i="6"/>
  <c r="F10" i="6"/>
  <c r="E10" i="6"/>
  <c r="S9" i="6"/>
  <c r="O11" i="15" s="1"/>
  <c r="G14" i="16" s="1"/>
  <c r="F9" i="6"/>
  <c r="L9" i="6" s="1"/>
  <c r="E9" i="6"/>
  <c r="S8" i="6"/>
  <c r="O8" i="15" s="1"/>
  <c r="L14" i="16" s="1"/>
  <c r="F8" i="6"/>
  <c r="E8" i="6"/>
  <c r="L8" i="6" s="1"/>
  <c r="S7" i="6"/>
  <c r="O7" i="15" s="1"/>
  <c r="L7" i="6"/>
  <c r="F7" i="6"/>
  <c r="E7" i="6"/>
  <c r="F6" i="6"/>
  <c r="L6" i="6" s="1"/>
  <c r="E6" i="6"/>
  <c r="F5" i="6"/>
  <c r="E5" i="6"/>
  <c r="S4" i="6"/>
  <c r="O4" i="15" s="1"/>
  <c r="C14" i="16" s="1"/>
  <c r="L4" i="6"/>
  <c r="F4" i="6"/>
  <c r="E4" i="6"/>
  <c r="B1" i="6"/>
  <c r="N48" i="5"/>
  <c r="S12" i="5" s="1"/>
  <c r="M48" i="5"/>
  <c r="K48" i="5"/>
  <c r="S11" i="5" s="1"/>
  <c r="N13" i="15" s="1"/>
  <c r="J48" i="5"/>
  <c r="I48" i="5"/>
  <c r="S9" i="5" s="1"/>
  <c r="N11" i="15" s="1"/>
  <c r="H48" i="5"/>
  <c r="S8" i="5" s="1"/>
  <c r="N8" i="15" s="1"/>
  <c r="G48" i="5"/>
  <c r="E48" i="5"/>
  <c r="S5" i="5" s="1"/>
  <c r="D48" i="5"/>
  <c r="L47" i="5"/>
  <c r="F47" i="5"/>
  <c r="E47" i="5"/>
  <c r="F46" i="5"/>
  <c r="E46" i="5"/>
  <c r="L46" i="5" s="1"/>
  <c r="F45" i="5"/>
  <c r="E45" i="5"/>
  <c r="L45" i="5" s="1"/>
  <c r="L44" i="5"/>
  <c r="F44" i="5"/>
  <c r="E44" i="5"/>
  <c r="L43" i="5"/>
  <c r="F43" i="5"/>
  <c r="E43" i="5"/>
  <c r="F42" i="5"/>
  <c r="E42" i="5"/>
  <c r="F41" i="5"/>
  <c r="E41" i="5"/>
  <c r="L41" i="5" s="1"/>
  <c r="L40" i="5"/>
  <c r="F40" i="5"/>
  <c r="E40" i="5"/>
  <c r="L39" i="5"/>
  <c r="F39" i="5"/>
  <c r="E39" i="5"/>
  <c r="F38" i="5"/>
  <c r="E38" i="5"/>
  <c r="L38" i="5" s="1"/>
  <c r="F37" i="5"/>
  <c r="L37" i="5" s="1"/>
  <c r="E37" i="5"/>
  <c r="F36" i="5"/>
  <c r="L36" i="5" s="1"/>
  <c r="E36" i="5"/>
  <c r="L35" i="5"/>
  <c r="F35" i="5"/>
  <c r="E35" i="5"/>
  <c r="F34" i="5"/>
  <c r="E34" i="5"/>
  <c r="L33" i="5"/>
  <c r="F33" i="5"/>
  <c r="E33" i="5"/>
  <c r="F32" i="5"/>
  <c r="L32" i="5" s="1"/>
  <c r="E32" i="5"/>
  <c r="L31" i="5"/>
  <c r="F31" i="5"/>
  <c r="E31" i="5"/>
  <c r="F30" i="5"/>
  <c r="E30" i="5"/>
  <c r="L30" i="5" s="1"/>
  <c r="F29" i="5"/>
  <c r="E29" i="5"/>
  <c r="L29" i="5" s="1"/>
  <c r="L28" i="5"/>
  <c r="F28" i="5"/>
  <c r="E28" i="5"/>
  <c r="L27" i="5"/>
  <c r="F27" i="5"/>
  <c r="E27" i="5"/>
  <c r="F26" i="5"/>
  <c r="E26" i="5"/>
  <c r="L25" i="5"/>
  <c r="F25" i="5"/>
  <c r="E25" i="5"/>
  <c r="F24" i="5"/>
  <c r="L24" i="5" s="1"/>
  <c r="E24" i="5"/>
  <c r="L23" i="5"/>
  <c r="F23" i="5"/>
  <c r="E23" i="5"/>
  <c r="F22" i="5"/>
  <c r="E22" i="5"/>
  <c r="L22" i="5" s="1"/>
  <c r="F21" i="5"/>
  <c r="L21" i="5" s="1"/>
  <c r="E21" i="5"/>
  <c r="L20" i="5"/>
  <c r="F20" i="5"/>
  <c r="E20" i="5"/>
  <c r="S19" i="5" a="1"/>
  <c r="S19" i="5"/>
  <c r="O13" i="16" s="1"/>
  <c r="F19" i="5"/>
  <c r="E19" i="5"/>
  <c r="S18" i="5" a="1"/>
  <c r="S18" i="5" s="1"/>
  <c r="L18" i="5"/>
  <c r="F18" i="5"/>
  <c r="E18" i="5"/>
  <c r="F17" i="5"/>
  <c r="E17" i="5"/>
  <c r="L17" i="5" s="1"/>
  <c r="F16" i="5"/>
  <c r="L16" i="5" s="1"/>
  <c r="E16" i="5"/>
  <c r="L15" i="5"/>
  <c r="F15" i="5"/>
  <c r="E15" i="5"/>
  <c r="S14" i="5"/>
  <c r="Q16" i="16" s="1"/>
  <c r="F14" i="5"/>
  <c r="L14" i="5" s="1"/>
  <c r="E14" i="5"/>
  <c r="L13" i="5"/>
  <c r="F13" i="5"/>
  <c r="E13" i="5"/>
  <c r="F12" i="5"/>
  <c r="E12" i="5"/>
  <c r="L12" i="5" s="1"/>
  <c r="L11" i="5"/>
  <c r="F11" i="5"/>
  <c r="E11" i="5"/>
  <c r="S10" i="5"/>
  <c r="N12" i="15" s="1"/>
  <c r="L10" i="5"/>
  <c r="F10" i="5"/>
  <c r="E10" i="5"/>
  <c r="F9" i="5"/>
  <c r="E9" i="5"/>
  <c r="L9" i="5" s="1"/>
  <c r="F8" i="5"/>
  <c r="L8" i="5" s="1"/>
  <c r="E8" i="5"/>
  <c r="S7" i="5"/>
  <c r="N7" i="15" s="1"/>
  <c r="L7" i="5"/>
  <c r="F7" i="5"/>
  <c r="E7" i="5"/>
  <c r="F6" i="5"/>
  <c r="E6" i="5"/>
  <c r="L6" i="5" s="1"/>
  <c r="L5" i="5"/>
  <c r="F5" i="5"/>
  <c r="F48" i="5" s="1"/>
  <c r="S6" i="5" s="1"/>
  <c r="N6" i="15" s="1"/>
  <c r="E5" i="5"/>
  <c r="S4" i="5"/>
  <c r="N4" i="15" s="1"/>
  <c r="L4" i="5"/>
  <c r="F4" i="5"/>
  <c r="E4" i="5"/>
  <c r="B1" i="5"/>
  <c r="N48" i="4"/>
  <c r="S12" i="4" s="1"/>
  <c r="M48" i="4"/>
  <c r="K48" i="4"/>
  <c r="S11" i="4" s="1"/>
  <c r="I13" i="15" s="1"/>
  <c r="I9" i="16" s="1"/>
  <c r="J48" i="4"/>
  <c r="S10" i="4" s="1"/>
  <c r="I12" i="15" s="1"/>
  <c r="H9" i="16" s="1"/>
  <c r="I48" i="4"/>
  <c r="S9" i="4" s="1"/>
  <c r="I11" i="15" s="1"/>
  <c r="G9" i="16" s="1"/>
  <c r="H48" i="4"/>
  <c r="G48" i="4"/>
  <c r="S7" i="4" s="1"/>
  <c r="I7" i="15" s="1"/>
  <c r="D48" i="4"/>
  <c r="F47" i="4"/>
  <c r="L47" i="4" s="1"/>
  <c r="E47" i="4"/>
  <c r="L46" i="4"/>
  <c r="F46" i="4"/>
  <c r="E46" i="4"/>
  <c r="L45" i="4"/>
  <c r="F45" i="4"/>
  <c r="E45" i="4"/>
  <c r="L44" i="4"/>
  <c r="F44" i="4"/>
  <c r="E44" i="4"/>
  <c r="F43" i="4"/>
  <c r="L43" i="4" s="1"/>
  <c r="E43" i="4"/>
  <c r="F42" i="4"/>
  <c r="E42" i="4"/>
  <c r="L42" i="4" s="1"/>
  <c r="F41" i="4"/>
  <c r="E41" i="4"/>
  <c r="L41" i="4" s="1"/>
  <c r="L40" i="4"/>
  <c r="F40" i="4"/>
  <c r="E40" i="4"/>
  <c r="F39" i="4"/>
  <c r="L39" i="4" s="1"/>
  <c r="E39" i="4"/>
  <c r="L38" i="4"/>
  <c r="F38" i="4"/>
  <c r="E38" i="4"/>
  <c r="F37" i="4"/>
  <c r="E37" i="4"/>
  <c r="L37" i="4" s="1"/>
  <c r="L36" i="4"/>
  <c r="F36" i="4"/>
  <c r="E36" i="4"/>
  <c r="F35" i="4"/>
  <c r="L35" i="4" s="1"/>
  <c r="E35" i="4"/>
  <c r="F34" i="4"/>
  <c r="E34" i="4"/>
  <c r="L34" i="4" s="1"/>
  <c r="L33" i="4"/>
  <c r="F33" i="4"/>
  <c r="E33" i="4"/>
  <c r="L32" i="4"/>
  <c r="F32" i="4"/>
  <c r="E32" i="4"/>
  <c r="F31" i="4"/>
  <c r="L31" i="4" s="1"/>
  <c r="E31" i="4"/>
  <c r="L30" i="4"/>
  <c r="F30" i="4"/>
  <c r="E30" i="4"/>
  <c r="F29" i="4"/>
  <c r="E29" i="4"/>
  <c r="L29" i="4" s="1"/>
  <c r="L28" i="4"/>
  <c r="F28" i="4"/>
  <c r="E28" i="4"/>
  <c r="F27" i="4"/>
  <c r="L27" i="4" s="1"/>
  <c r="E27" i="4"/>
  <c r="F26" i="4"/>
  <c r="L26" i="4" s="1"/>
  <c r="E26" i="4"/>
  <c r="L25" i="4"/>
  <c r="F25" i="4"/>
  <c r="E25" i="4"/>
  <c r="L24" i="4"/>
  <c r="F24" i="4"/>
  <c r="E24" i="4"/>
  <c r="F23" i="4"/>
  <c r="L23" i="4" s="1"/>
  <c r="E23" i="4"/>
  <c r="L22" i="4"/>
  <c r="F22" i="4"/>
  <c r="E22" i="4"/>
  <c r="F21" i="4"/>
  <c r="E21" i="4"/>
  <c r="L21" i="4" s="1"/>
  <c r="F20" i="4"/>
  <c r="L20" i="4" s="1"/>
  <c r="E20" i="4"/>
  <c r="S19" i="4" a="1"/>
  <c r="S19" i="4" s="1"/>
  <c r="O9" i="16" s="1"/>
  <c r="F19" i="4"/>
  <c r="E19" i="4"/>
  <c r="L19" i="4" s="1"/>
  <c r="S18" i="4" a="1"/>
  <c r="S18" i="4" s="1"/>
  <c r="N9" i="16" s="1"/>
  <c r="L18" i="4"/>
  <c r="F18" i="4"/>
  <c r="E18" i="4"/>
  <c r="F17" i="4"/>
  <c r="L17" i="4" s="1"/>
  <c r="E17" i="4"/>
  <c r="F16" i="4"/>
  <c r="E16" i="4"/>
  <c r="L16" i="4" s="1"/>
  <c r="L15" i="4"/>
  <c r="F15" i="4"/>
  <c r="E15" i="4"/>
  <c r="S14" i="4"/>
  <c r="L14" i="4"/>
  <c r="F14" i="4"/>
  <c r="E14" i="4"/>
  <c r="F13" i="4"/>
  <c r="L13" i="4" s="1"/>
  <c r="E13" i="4"/>
  <c r="F12" i="4"/>
  <c r="L12" i="4" s="1"/>
  <c r="E12" i="4"/>
  <c r="L11" i="4"/>
  <c r="F11" i="4"/>
  <c r="E11" i="4"/>
  <c r="F10" i="4"/>
  <c r="L10" i="4" s="1"/>
  <c r="E10" i="4"/>
  <c r="L9" i="4"/>
  <c r="F9" i="4"/>
  <c r="E9" i="4"/>
  <c r="S8" i="4"/>
  <c r="I8" i="15" s="1"/>
  <c r="L9" i="16" s="1"/>
  <c r="L8" i="4"/>
  <c r="F8" i="4"/>
  <c r="E8" i="4"/>
  <c r="F7" i="4"/>
  <c r="L7" i="4" s="1"/>
  <c r="E7" i="4"/>
  <c r="L6" i="4"/>
  <c r="F6" i="4"/>
  <c r="E6" i="4"/>
  <c r="F5" i="4"/>
  <c r="L5" i="4" s="1"/>
  <c r="E5" i="4"/>
  <c r="S4" i="4"/>
  <c r="I4" i="15" s="1"/>
  <c r="C9" i="16" s="1"/>
  <c r="F4" i="4"/>
  <c r="L4" i="4" s="1"/>
  <c r="E4" i="4"/>
  <c r="B1" i="4"/>
  <c r="N48" i="3"/>
  <c r="M48" i="3"/>
  <c r="S14" i="3" s="1"/>
  <c r="Q11" i="16" s="1"/>
  <c r="K48" i="3"/>
  <c r="J48" i="3"/>
  <c r="S10" i="3" s="1"/>
  <c r="H12" i="15" s="1"/>
  <c r="I48" i="3"/>
  <c r="H48" i="3"/>
  <c r="G48" i="3"/>
  <c r="D48" i="3"/>
  <c r="S4" i="3" s="1"/>
  <c r="H4" i="15" s="1"/>
  <c r="F47" i="3"/>
  <c r="E47" i="3"/>
  <c r="L47" i="3" s="1"/>
  <c r="F46" i="3"/>
  <c r="E46" i="3"/>
  <c r="L46" i="3" s="1"/>
  <c r="F45" i="3"/>
  <c r="E45" i="3"/>
  <c r="L45" i="3" s="1"/>
  <c r="F44" i="3"/>
  <c r="L44" i="3" s="1"/>
  <c r="E44" i="3"/>
  <c r="F43" i="3"/>
  <c r="E43" i="3"/>
  <c r="L43" i="3" s="1"/>
  <c r="F42" i="3"/>
  <c r="E42" i="3"/>
  <c r="L42" i="3" s="1"/>
  <c r="F41" i="3"/>
  <c r="L41" i="3" s="1"/>
  <c r="E41" i="3"/>
  <c r="L40" i="3"/>
  <c r="F40" i="3"/>
  <c r="E40" i="3"/>
  <c r="F39" i="3"/>
  <c r="L39" i="3" s="1"/>
  <c r="E39" i="3"/>
  <c r="F38" i="3"/>
  <c r="E38" i="3"/>
  <c r="F37" i="3"/>
  <c r="E37" i="3"/>
  <c r="L37" i="3" s="1"/>
  <c r="L36" i="3"/>
  <c r="F36" i="3"/>
  <c r="E36" i="3"/>
  <c r="F35" i="3"/>
  <c r="E35" i="3"/>
  <c r="L35" i="3" s="1"/>
  <c r="F34" i="3"/>
  <c r="E34" i="3"/>
  <c r="L34" i="3" s="1"/>
  <c r="L33" i="3"/>
  <c r="F33" i="3"/>
  <c r="E33" i="3"/>
  <c r="L32" i="3"/>
  <c r="F32" i="3"/>
  <c r="E32" i="3"/>
  <c r="F31" i="3"/>
  <c r="E31" i="3"/>
  <c r="L31" i="3" s="1"/>
  <c r="F30" i="3"/>
  <c r="E30" i="3"/>
  <c r="L30" i="3" s="1"/>
  <c r="F29" i="3"/>
  <c r="E29" i="3"/>
  <c r="L29" i="3" s="1"/>
  <c r="L28" i="3"/>
  <c r="F28" i="3"/>
  <c r="E28" i="3"/>
  <c r="F27" i="3"/>
  <c r="E27" i="3"/>
  <c r="L27" i="3" s="1"/>
  <c r="F26" i="3"/>
  <c r="E26" i="3"/>
  <c r="L26" i="3" s="1"/>
  <c r="F25" i="3"/>
  <c r="E25" i="3"/>
  <c r="L25" i="3" s="1"/>
  <c r="F24" i="3"/>
  <c r="L24" i="3" s="1"/>
  <c r="E24" i="3"/>
  <c r="F23" i="3"/>
  <c r="E23" i="3"/>
  <c r="L23" i="3" s="1"/>
  <c r="F22" i="3"/>
  <c r="E22" i="3"/>
  <c r="L22" i="3" s="1"/>
  <c r="F21" i="3"/>
  <c r="E21" i="3"/>
  <c r="L21" i="3" s="1"/>
  <c r="L20" i="3"/>
  <c r="F20" i="3"/>
  <c r="E20" i="3"/>
  <c r="S19" i="3" a="1"/>
  <c r="S19" i="3"/>
  <c r="O8" i="16" s="1"/>
  <c r="F19" i="3"/>
  <c r="E19" i="3"/>
  <c r="S18" i="3" a="1"/>
  <c r="S18" i="3" s="1"/>
  <c r="L18" i="3"/>
  <c r="F18" i="3"/>
  <c r="E18" i="3"/>
  <c r="F17" i="3"/>
  <c r="E17" i="3"/>
  <c r="L17" i="3" s="1"/>
  <c r="L16" i="3"/>
  <c r="F16" i="3"/>
  <c r="E16" i="3"/>
  <c r="L15" i="3"/>
  <c r="F15" i="3"/>
  <c r="E15" i="3"/>
  <c r="L14" i="3"/>
  <c r="F14" i="3"/>
  <c r="E14" i="3"/>
  <c r="F13" i="3"/>
  <c r="L13" i="3" s="1"/>
  <c r="E13" i="3"/>
  <c r="S12" i="3"/>
  <c r="F12" i="3"/>
  <c r="E12" i="3"/>
  <c r="L12" i="3" s="1"/>
  <c r="S11" i="3"/>
  <c r="H13" i="15" s="1"/>
  <c r="L11" i="3"/>
  <c r="F11" i="3"/>
  <c r="E11" i="3"/>
  <c r="F10" i="3"/>
  <c r="L10" i="3" s="1"/>
  <c r="E10" i="3"/>
  <c r="S9" i="3"/>
  <c r="H11" i="15" s="1"/>
  <c r="F9" i="3"/>
  <c r="E9" i="3"/>
  <c r="L9" i="3" s="1"/>
  <c r="S8" i="3"/>
  <c r="H8" i="15" s="1"/>
  <c r="L8" i="3"/>
  <c r="F8" i="3"/>
  <c r="E8" i="3"/>
  <c r="S7" i="3"/>
  <c r="H7" i="15" s="1"/>
  <c r="F7" i="3"/>
  <c r="L7" i="3" s="1"/>
  <c r="E7" i="3"/>
  <c r="F6" i="3"/>
  <c r="E6" i="3"/>
  <c r="L6" i="3" s="1"/>
  <c r="F5" i="3"/>
  <c r="L5" i="3" s="1"/>
  <c r="E5" i="3"/>
  <c r="F4" i="3"/>
  <c r="E4" i="3"/>
  <c r="B1" i="3"/>
  <c r="N48" i="2"/>
  <c r="M48" i="2"/>
  <c r="K48" i="2"/>
  <c r="J48" i="2"/>
  <c r="S10" i="2" s="1"/>
  <c r="C12" i="15" s="1"/>
  <c r="H4" i="16" s="1"/>
  <c r="I48" i="2"/>
  <c r="S9" i="2" s="1"/>
  <c r="C11" i="15" s="1"/>
  <c r="G4" i="16" s="1"/>
  <c r="H48" i="2"/>
  <c r="G48" i="2"/>
  <c r="D48" i="2"/>
  <c r="F47" i="2"/>
  <c r="E47" i="2"/>
  <c r="L47" i="2" s="1"/>
  <c r="F46" i="2"/>
  <c r="E46" i="2"/>
  <c r="L46" i="2" s="1"/>
  <c r="L45" i="2"/>
  <c r="F45" i="2"/>
  <c r="E45" i="2"/>
  <c r="L44" i="2"/>
  <c r="F44" i="2"/>
  <c r="E44" i="2"/>
  <c r="F43" i="2"/>
  <c r="E43" i="2"/>
  <c r="L43" i="2" s="1"/>
  <c r="F42" i="2"/>
  <c r="E42" i="2"/>
  <c r="L42" i="2" s="1"/>
  <c r="L41" i="2"/>
  <c r="F41" i="2"/>
  <c r="E41" i="2"/>
  <c r="L40" i="2"/>
  <c r="F40" i="2"/>
  <c r="E40" i="2"/>
  <c r="F39" i="2"/>
  <c r="E39" i="2"/>
  <c r="L39" i="2" s="1"/>
  <c r="F38" i="2"/>
  <c r="E38" i="2"/>
  <c r="L38" i="2" s="1"/>
  <c r="L37" i="2"/>
  <c r="F37" i="2"/>
  <c r="E37" i="2"/>
  <c r="L36" i="2"/>
  <c r="F36" i="2"/>
  <c r="E36" i="2"/>
  <c r="F35" i="2"/>
  <c r="E35" i="2"/>
  <c r="L35" i="2" s="1"/>
  <c r="F34" i="2"/>
  <c r="E34" i="2"/>
  <c r="L34" i="2" s="1"/>
  <c r="L33" i="2"/>
  <c r="F33" i="2"/>
  <c r="E33" i="2"/>
  <c r="L32" i="2"/>
  <c r="F32" i="2"/>
  <c r="E32" i="2"/>
  <c r="F31" i="2"/>
  <c r="E31" i="2"/>
  <c r="L31" i="2" s="1"/>
  <c r="F30" i="2"/>
  <c r="E30" i="2"/>
  <c r="L30" i="2" s="1"/>
  <c r="L29" i="2"/>
  <c r="F29" i="2"/>
  <c r="E29" i="2"/>
  <c r="L28" i="2"/>
  <c r="F28" i="2"/>
  <c r="E28" i="2"/>
  <c r="F27" i="2"/>
  <c r="E27" i="2"/>
  <c r="L27" i="2" s="1"/>
  <c r="F26" i="2"/>
  <c r="E26" i="2"/>
  <c r="L26" i="2" s="1"/>
  <c r="L25" i="2"/>
  <c r="F25" i="2"/>
  <c r="E25" i="2"/>
  <c r="L24" i="2"/>
  <c r="F24" i="2"/>
  <c r="E24" i="2"/>
  <c r="F23" i="2"/>
  <c r="E23" i="2"/>
  <c r="L23" i="2" s="1"/>
  <c r="F22" i="2"/>
  <c r="E22" i="2"/>
  <c r="L22" i="2" s="1"/>
  <c r="L21" i="2"/>
  <c r="F21" i="2"/>
  <c r="E21" i="2"/>
  <c r="L20" i="2"/>
  <c r="F20" i="2"/>
  <c r="E20" i="2"/>
  <c r="S19" i="2" a="1"/>
  <c r="S19" i="2" s="1"/>
  <c r="F19" i="2"/>
  <c r="E19" i="2"/>
  <c r="L19" i="2" s="1"/>
  <c r="S18" i="2" a="1"/>
  <c r="S18" i="2" s="1"/>
  <c r="N4" i="16" s="1"/>
  <c r="F18" i="2"/>
  <c r="E18" i="2"/>
  <c r="L18" i="2" s="1"/>
  <c r="L17" i="2"/>
  <c r="F17" i="2"/>
  <c r="E17" i="2"/>
  <c r="L16" i="2"/>
  <c r="F16" i="2"/>
  <c r="E16" i="2"/>
  <c r="F15" i="2"/>
  <c r="L15" i="2" s="1"/>
  <c r="E15" i="2"/>
  <c r="S14" i="2"/>
  <c r="F14" i="2"/>
  <c r="E14" i="2"/>
  <c r="L14" i="2" s="1"/>
  <c r="F13" i="2"/>
  <c r="E13" i="2"/>
  <c r="L13" i="2" s="1"/>
  <c r="S12" i="2"/>
  <c r="F12" i="2"/>
  <c r="L12" i="2" s="1"/>
  <c r="E12" i="2"/>
  <c r="S11" i="2"/>
  <c r="C13" i="15" s="1"/>
  <c r="I4" i="16" s="1"/>
  <c r="F11" i="2"/>
  <c r="E11" i="2"/>
  <c r="L11" i="2" s="1"/>
  <c r="F10" i="2"/>
  <c r="E10" i="2"/>
  <c r="L10" i="2" s="1"/>
  <c r="F9" i="2"/>
  <c r="L9" i="2" s="1"/>
  <c r="E9" i="2"/>
  <c r="S8" i="2"/>
  <c r="C8" i="15" s="1"/>
  <c r="L4" i="16" s="1"/>
  <c r="F8" i="2"/>
  <c r="E8" i="2"/>
  <c r="L8" i="2" s="1"/>
  <c r="S7" i="2"/>
  <c r="C7" i="15" s="1"/>
  <c r="F7" i="2"/>
  <c r="E7" i="2"/>
  <c r="L7" i="2" s="1"/>
  <c r="F6" i="2"/>
  <c r="L6" i="2" s="1"/>
  <c r="E6" i="2"/>
  <c r="F5" i="2"/>
  <c r="E5" i="2"/>
  <c r="L5" i="2" s="1"/>
  <c r="S4" i="2"/>
  <c r="C4" i="15" s="1"/>
  <c r="C4" i="16" s="1"/>
  <c r="F4" i="2"/>
  <c r="E4" i="2"/>
  <c r="L4" i="2" s="1"/>
  <c r="B1" i="2"/>
  <c r="N48" i="1"/>
  <c r="M48" i="1"/>
  <c r="S14" i="1" s="1"/>
  <c r="K48" i="1"/>
  <c r="S11" i="1" s="1"/>
  <c r="B13" i="15" s="1"/>
  <c r="J48" i="1"/>
  <c r="I48" i="1"/>
  <c r="H48" i="1"/>
  <c r="S8" i="1" s="1"/>
  <c r="B8" i="15" s="1"/>
  <c r="G48" i="1"/>
  <c r="D48" i="1"/>
  <c r="F47" i="1"/>
  <c r="L47" i="1" s="1"/>
  <c r="E47" i="1"/>
  <c r="F46" i="1"/>
  <c r="E46" i="1"/>
  <c r="L46" i="1" s="1"/>
  <c r="F45" i="1"/>
  <c r="E45" i="1"/>
  <c r="L45" i="1" s="1"/>
  <c r="F44" i="1"/>
  <c r="L44" i="1" s="1"/>
  <c r="E44" i="1"/>
  <c r="L43" i="1"/>
  <c r="F43" i="1"/>
  <c r="E43" i="1"/>
  <c r="F42" i="1"/>
  <c r="E42" i="1"/>
  <c r="L42" i="1" s="1"/>
  <c r="L41" i="1"/>
  <c r="F41" i="1"/>
  <c r="E41" i="1"/>
  <c r="L40" i="1"/>
  <c r="F40" i="1"/>
  <c r="E40" i="1"/>
  <c r="F39" i="1"/>
  <c r="L39" i="1" s="1"/>
  <c r="E39" i="1"/>
  <c r="F38" i="1"/>
  <c r="E38" i="1"/>
  <c r="F37" i="1"/>
  <c r="E37" i="1"/>
  <c r="L37" i="1" s="1"/>
  <c r="F36" i="1"/>
  <c r="E36" i="1"/>
  <c r="L36" i="1" s="1"/>
  <c r="L35" i="1"/>
  <c r="F35" i="1"/>
  <c r="E35" i="1"/>
  <c r="F34" i="1"/>
  <c r="E34" i="1"/>
  <c r="L34" i="1" s="1"/>
  <c r="F33" i="1"/>
  <c r="E33" i="1"/>
  <c r="L33" i="1" s="1"/>
  <c r="F32" i="1"/>
  <c r="E32" i="1"/>
  <c r="L32" i="1" s="1"/>
  <c r="F31" i="1"/>
  <c r="L31" i="1" s="1"/>
  <c r="E31" i="1"/>
  <c r="F30" i="1"/>
  <c r="E30" i="1"/>
  <c r="F29" i="1"/>
  <c r="E29" i="1"/>
  <c r="L29" i="1" s="1"/>
  <c r="L28" i="1"/>
  <c r="F28" i="1"/>
  <c r="E28" i="1"/>
  <c r="L27" i="1"/>
  <c r="F27" i="1"/>
  <c r="E27" i="1"/>
  <c r="F26" i="1"/>
  <c r="E26" i="1"/>
  <c r="L26" i="1" s="1"/>
  <c r="F25" i="1"/>
  <c r="L25" i="1" s="1"/>
  <c r="E25" i="1"/>
  <c r="F24" i="1"/>
  <c r="E24" i="1"/>
  <c r="L24" i="1" s="1"/>
  <c r="F23" i="1"/>
  <c r="E23" i="1"/>
  <c r="L23" i="1" s="1"/>
  <c r="F22" i="1"/>
  <c r="E22" i="1"/>
  <c r="L21" i="1"/>
  <c r="F21" i="1"/>
  <c r="E21" i="1"/>
  <c r="F20" i="1"/>
  <c r="E20" i="1"/>
  <c r="L20" i="1" s="1"/>
  <c r="S19" i="1" a="1"/>
  <c r="S19" i="1"/>
  <c r="O3" i="16" s="1"/>
  <c r="F19" i="1"/>
  <c r="E19" i="1"/>
  <c r="L19" i="1" s="1"/>
  <c r="S18" i="1" a="1"/>
  <c r="S18" i="1"/>
  <c r="N3" i="16" s="1"/>
  <c r="F18" i="1"/>
  <c r="L18" i="1" s="1"/>
  <c r="E18" i="1"/>
  <c r="F17" i="1"/>
  <c r="F48" i="1" s="1"/>
  <c r="S6" i="1" s="1"/>
  <c r="B6" i="15" s="1"/>
  <c r="E17" i="1"/>
  <c r="L17" i="1" s="1"/>
  <c r="F16" i="1"/>
  <c r="E16" i="1"/>
  <c r="L16" i="1" s="1"/>
  <c r="L15" i="1"/>
  <c r="F15" i="1"/>
  <c r="E15" i="1"/>
  <c r="F14" i="1"/>
  <c r="E14" i="1"/>
  <c r="L14" i="1" s="1"/>
  <c r="F13" i="1"/>
  <c r="L13" i="1" s="1"/>
  <c r="E13" i="1"/>
  <c r="S12" i="1"/>
  <c r="L12" i="1"/>
  <c r="F12" i="1"/>
  <c r="E12" i="1"/>
  <c r="F11" i="1"/>
  <c r="E11" i="1"/>
  <c r="L11" i="1" s="1"/>
  <c r="S10" i="1"/>
  <c r="B12" i="15" s="1"/>
  <c r="F10" i="1"/>
  <c r="L10" i="1" s="1"/>
  <c r="E10" i="1"/>
  <c r="S9" i="1"/>
  <c r="B11" i="15" s="1"/>
  <c r="L9" i="1"/>
  <c r="F9" i="1"/>
  <c r="E9" i="1"/>
  <c r="F8" i="1"/>
  <c r="E8" i="1"/>
  <c r="L8" i="1" s="1"/>
  <c r="S7" i="1"/>
  <c r="B7" i="15" s="1"/>
  <c r="F7" i="1"/>
  <c r="L7" i="1" s="1"/>
  <c r="E7" i="1"/>
  <c r="L6" i="1"/>
  <c r="F6" i="1"/>
  <c r="E6" i="1"/>
  <c r="F5" i="1"/>
  <c r="E5" i="1"/>
  <c r="E48" i="1" s="1"/>
  <c r="S5" i="1" s="1"/>
  <c r="S4" i="1"/>
  <c r="B4" i="15" s="1"/>
  <c r="F4" i="1"/>
  <c r="L4" i="1" s="1"/>
  <c r="E4" i="1"/>
  <c r="N48" i="9"/>
  <c r="S12" i="9" s="1"/>
  <c r="M48" i="9"/>
  <c r="S14" i="9" s="1"/>
  <c r="Q26" i="16" s="1"/>
  <c r="K48" i="9"/>
  <c r="J48" i="9"/>
  <c r="I48" i="9"/>
  <c r="H48" i="9"/>
  <c r="G48" i="9"/>
  <c r="D48" i="9"/>
  <c r="S4" i="9" s="1"/>
  <c r="H22" i="15" s="1"/>
  <c r="F47" i="9"/>
  <c r="E47" i="9"/>
  <c r="L46" i="9"/>
  <c r="F46" i="9"/>
  <c r="E46" i="9"/>
  <c r="F45" i="9"/>
  <c r="L45" i="9" s="1"/>
  <c r="E45" i="9"/>
  <c r="F44" i="9"/>
  <c r="E44" i="9"/>
  <c r="L44" i="9" s="1"/>
  <c r="F43" i="9"/>
  <c r="E43" i="9"/>
  <c r="L43" i="9" s="1"/>
  <c r="F42" i="9"/>
  <c r="L42" i="9" s="1"/>
  <c r="E42" i="9"/>
  <c r="L41" i="9"/>
  <c r="F41" i="9"/>
  <c r="E41" i="9"/>
  <c r="F40" i="9"/>
  <c r="E40" i="9"/>
  <c r="L40" i="9" s="1"/>
  <c r="F39" i="9"/>
  <c r="E39" i="9"/>
  <c r="L39" i="9" s="1"/>
  <c r="L38" i="9"/>
  <c r="F38" i="9"/>
  <c r="E38" i="9"/>
  <c r="F37" i="9"/>
  <c r="L37" i="9" s="1"/>
  <c r="E37" i="9"/>
  <c r="F36" i="9"/>
  <c r="E36" i="9"/>
  <c r="L36" i="9" s="1"/>
  <c r="F35" i="9"/>
  <c r="E35" i="9"/>
  <c r="F34" i="9"/>
  <c r="E34" i="9"/>
  <c r="L34" i="9" s="1"/>
  <c r="L33" i="9"/>
  <c r="F33" i="9"/>
  <c r="E33" i="9"/>
  <c r="F32" i="9"/>
  <c r="L32" i="9" s="1"/>
  <c r="E32" i="9"/>
  <c r="F31" i="9"/>
  <c r="E31" i="9"/>
  <c r="L31" i="9" s="1"/>
  <c r="F30" i="9"/>
  <c r="E30" i="9"/>
  <c r="L30" i="9" s="1"/>
  <c r="F29" i="9"/>
  <c r="L29" i="9" s="1"/>
  <c r="E29" i="9"/>
  <c r="L28" i="9"/>
  <c r="F28" i="9"/>
  <c r="E28" i="9"/>
  <c r="F27" i="9"/>
  <c r="E27" i="9"/>
  <c r="L27" i="9" s="1"/>
  <c r="L26" i="9"/>
  <c r="F26" i="9"/>
  <c r="E26" i="9"/>
  <c r="L25" i="9"/>
  <c r="F25" i="9"/>
  <c r="E25" i="9"/>
  <c r="F24" i="9"/>
  <c r="L24" i="9" s="1"/>
  <c r="E24" i="9"/>
  <c r="F23" i="9"/>
  <c r="E23" i="9"/>
  <c r="F22" i="9"/>
  <c r="E22" i="9"/>
  <c r="L22" i="9" s="1"/>
  <c r="F21" i="9"/>
  <c r="E21" i="9"/>
  <c r="L21" i="9" s="1"/>
  <c r="F20" i="9"/>
  <c r="L20" i="9" s="1"/>
  <c r="E20" i="9"/>
  <c r="S19" i="9" a="1"/>
  <c r="S19" i="9" s="1"/>
  <c r="O23" i="16" s="1"/>
  <c r="F19" i="9"/>
  <c r="F48" i="9" s="1"/>
  <c r="S6" i="9" s="1"/>
  <c r="H24" i="15" s="1"/>
  <c r="E19" i="9"/>
  <c r="L19" i="9" s="1"/>
  <c r="S18" i="9" a="1"/>
  <c r="S18" i="9"/>
  <c r="N23" i="16" s="1"/>
  <c r="F18" i="9"/>
  <c r="L18" i="9" s="1"/>
  <c r="E18" i="9"/>
  <c r="L17" i="9"/>
  <c r="F17" i="9"/>
  <c r="E17" i="9"/>
  <c r="F16" i="9"/>
  <c r="E16" i="9"/>
  <c r="L16" i="9" s="1"/>
  <c r="F15" i="9"/>
  <c r="E15" i="9"/>
  <c r="L15" i="9" s="1"/>
  <c r="L14" i="9"/>
  <c r="F14" i="9"/>
  <c r="E14" i="9"/>
  <c r="F13" i="9"/>
  <c r="L13" i="9" s="1"/>
  <c r="E13" i="9"/>
  <c r="L12" i="9"/>
  <c r="F12" i="9"/>
  <c r="E12" i="9"/>
  <c r="S11" i="9"/>
  <c r="H31" i="15" s="1"/>
  <c r="F11" i="9"/>
  <c r="L11" i="9" s="1"/>
  <c r="E11" i="9"/>
  <c r="S10" i="9"/>
  <c r="H30" i="15" s="1"/>
  <c r="F10" i="9"/>
  <c r="L10" i="9" s="1"/>
  <c r="E10" i="9"/>
  <c r="S9" i="9"/>
  <c r="H29" i="15" s="1"/>
  <c r="L9" i="9"/>
  <c r="F9" i="9"/>
  <c r="E9" i="9"/>
  <c r="S8" i="9"/>
  <c r="H26" i="15" s="1"/>
  <c r="F8" i="9"/>
  <c r="L8" i="9" s="1"/>
  <c r="E8" i="9"/>
  <c r="S7" i="9"/>
  <c r="H25" i="15" s="1"/>
  <c r="F7" i="9"/>
  <c r="L7" i="9" s="1"/>
  <c r="E7" i="9"/>
  <c r="L6" i="9"/>
  <c r="F6" i="9"/>
  <c r="E6" i="9"/>
  <c r="E48" i="9" s="1"/>
  <c r="S5" i="9" s="1"/>
  <c r="F5" i="9"/>
  <c r="L5" i="9" s="1"/>
  <c r="E5" i="9"/>
  <c r="F4" i="9"/>
  <c r="L4" i="9" s="1"/>
  <c r="E4" i="9"/>
  <c r="B1" i="9"/>
  <c r="I13" i="16" l="1"/>
  <c r="I16" i="16" s="1"/>
  <c r="P13" i="15"/>
  <c r="O14" i="16"/>
  <c r="S20" i="6"/>
  <c r="D24" i="15"/>
  <c r="E18" i="16"/>
  <c r="E21" i="16" s="1"/>
  <c r="L3" i="16"/>
  <c r="L6" i="16" s="1"/>
  <c r="D8" i="15"/>
  <c r="O4" i="16"/>
  <c r="S20" i="2"/>
  <c r="E13" i="16"/>
  <c r="E3" i="16"/>
  <c r="B5" i="15"/>
  <c r="S13" i="1"/>
  <c r="N8" i="16"/>
  <c r="S20" i="3"/>
  <c r="N13" i="16"/>
  <c r="S20" i="5"/>
  <c r="C23" i="15"/>
  <c r="S13" i="8"/>
  <c r="J22" i="15"/>
  <c r="C23" i="16"/>
  <c r="C26" i="16" s="1"/>
  <c r="I3" i="16"/>
  <c r="I6" i="16" s="1"/>
  <c r="D13" i="15"/>
  <c r="M41" i="16"/>
  <c r="E13" i="17" s="1"/>
  <c r="E15" i="17" s="1"/>
  <c r="M20" i="17" s="1"/>
  <c r="Q6" i="16"/>
  <c r="N5" i="15"/>
  <c r="S13" i="5"/>
  <c r="L48" i="4"/>
  <c r="L13" i="16"/>
  <c r="L16" i="16" s="1"/>
  <c r="P8" i="15"/>
  <c r="E23" i="16"/>
  <c r="E26" i="16" s="1"/>
  <c r="J24" i="15"/>
  <c r="H23" i="15"/>
  <c r="S13" i="9"/>
  <c r="L48" i="2"/>
  <c r="H8" i="16"/>
  <c r="H11" i="16" s="1"/>
  <c r="J12" i="15"/>
  <c r="S20" i="4"/>
  <c r="L20" i="8"/>
  <c r="E48" i="10"/>
  <c r="S5" i="10" s="1"/>
  <c r="L24" i="10"/>
  <c r="E48" i="11"/>
  <c r="S5" i="11" s="1"/>
  <c r="D7" i="15"/>
  <c r="K3" i="16"/>
  <c r="C18" i="16"/>
  <c r="C21" i="16" s="1"/>
  <c r="D22" i="15"/>
  <c r="L5" i="1"/>
  <c r="L48" i="1" s="1"/>
  <c r="L30" i="1"/>
  <c r="L42" i="5"/>
  <c r="L21" i="6"/>
  <c r="L48" i="6" s="1"/>
  <c r="S20" i="7"/>
  <c r="L30" i="7"/>
  <c r="D29" i="15"/>
  <c r="G18" i="16"/>
  <c r="G21" i="16" s="1"/>
  <c r="S20" i="8"/>
  <c r="K33" i="16"/>
  <c r="K36" i="16" s="1"/>
  <c r="D43" i="15"/>
  <c r="C41" i="15"/>
  <c r="S13" i="14"/>
  <c r="J25" i="15"/>
  <c r="K23" i="16"/>
  <c r="K26" i="16" s="1"/>
  <c r="F48" i="2"/>
  <c r="S6" i="2" s="1"/>
  <c r="C6" i="15" s="1"/>
  <c r="E4" i="16" s="1"/>
  <c r="H18" i="16"/>
  <c r="H21" i="16" s="1"/>
  <c r="D30" i="15"/>
  <c r="P29" i="15"/>
  <c r="G28" i="16"/>
  <c r="G31" i="16" s="1"/>
  <c r="L33" i="16"/>
  <c r="L36" i="16" s="1"/>
  <c r="D44" i="15"/>
  <c r="H23" i="16"/>
  <c r="H26" i="16" s="1"/>
  <c r="J30" i="15"/>
  <c r="L22" i="1"/>
  <c r="E48" i="3"/>
  <c r="S5" i="3" s="1"/>
  <c r="K8" i="16"/>
  <c r="J7" i="15"/>
  <c r="P12" i="15"/>
  <c r="H13" i="16"/>
  <c r="H16" i="16" s="1"/>
  <c r="L34" i="5"/>
  <c r="L26" i="7"/>
  <c r="L20" i="10"/>
  <c r="P30" i="15"/>
  <c r="H28" i="16"/>
  <c r="H31" i="16" s="1"/>
  <c r="C3" i="16"/>
  <c r="C6" i="16" s="1"/>
  <c r="D4" i="15"/>
  <c r="I40" i="15" s="1"/>
  <c r="K4" i="16"/>
  <c r="F48" i="3"/>
  <c r="S6" i="3" s="1"/>
  <c r="H6" i="15" s="1"/>
  <c r="L4" i="3"/>
  <c r="F48" i="4"/>
  <c r="S6" i="4" s="1"/>
  <c r="I6" i="15" s="1"/>
  <c r="E9" i="16" s="1"/>
  <c r="P7" i="15"/>
  <c r="K13" i="16"/>
  <c r="K16" i="16" s="1"/>
  <c r="D48" i="15"/>
  <c r="H33" i="16"/>
  <c r="H36" i="16" s="1"/>
  <c r="S20" i="9"/>
  <c r="L47" i="9"/>
  <c r="G3" i="16"/>
  <c r="G6" i="16" s="1"/>
  <c r="D11" i="15"/>
  <c r="E48" i="2"/>
  <c r="S5" i="2" s="1"/>
  <c r="I8" i="16"/>
  <c r="I11" i="16" s="1"/>
  <c r="J13" i="15"/>
  <c r="L19" i="3"/>
  <c r="E48" i="4"/>
  <c r="S5" i="4" s="1"/>
  <c r="K9" i="16"/>
  <c r="P4" i="15"/>
  <c r="C13" i="16"/>
  <c r="C16" i="16" s="1"/>
  <c r="L26" i="5"/>
  <c r="F48" i="6"/>
  <c r="S6" i="6" s="1"/>
  <c r="O6" i="15" s="1"/>
  <c r="E14" i="16" s="1"/>
  <c r="K14" i="16"/>
  <c r="L46" i="6"/>
  <c r="L22" i="7"/>
  <c r="D49" i="15"/>
  <c r="I33" i="16"/>
  <c r="I36" i="16" s="1"/>
  <c r="I28" i="16"/>
  <c r="I31" i="16" s="1"/>
  <c r="P31" i="15"/>
  <c r="E33" i="16"/>
  <c r="E36" i="16" s="1"/>
  <c r="D42" i="15"/>
  <c r="N33" i="16"/>
  <c r="S20" i="13"/>
  <c r="L23" i="16"/>
  <c r="L26" i="16" s="1"/>
  <c r="J26" i="15"/>
  <c r="I23" i="16"/>
  <c r="I26" i="16" s="1"/>
  <c r="J31" i="15"/>
  <c r="J8" i="15"/>
  <c r="L8" i="16"/>
  <c r="L11" i="16" s="1"/>
  <c r="L19" i="5"/>
  <c r="L48" i="5" s="1"/>
  <c r="L42" i="6"/>
  <c r="L4" i="7"/>
  <c r="L48" i="7" s="1"/>
  <c r="E48" i="7"/>
  <c r="S5" i="7" s="1"/>
  <c r="D31" i="15"/>
  <c r="I18" i="16"/>
  <c r="I21" i="16" s="1"/>
  <c r="K19" i="16"/>
  <c r="K28" i="16"/>
  <c r="K31" i="16" s="1"/>
  <c r="P25" i="15"/>
  <c r="S20" i="11"/>
  <c r="L35" i="9"/>
  <c r="L48" i="9" s="1"/>
  <c r="L38" i="3"/>
  <c r="C8" i="16"/>
  <c r="C11" i="16" s="1"/>
  <c r="J4" i="15"/>
  <c r="E48" i="6"/>
  <c r="S5" i="6" s="1"/>
  <c r="L5" i="6"/>
  <c r="O23" i="15"/>
  <c r="G33" i="16"/>
  <c r="G36" i="16" s="1"/>
  <c r="D47" i="15"/>
  <c r="L48" i="11"/>
  <c r="D12" i="15"/>
  <c r="H3" i="16"/>
  <c r="H6" i="16" s="1"/>
  <c r="G23" i="16"/>
  <c r="G26" i="16" s="1"/>
  <c r="J29" i="15"/>
  <c r="G13" i="16"/>
  <c r="G16" i="16" s="1"/>
  <c r="P11" i="15"/>
  <c r="L18" i="16"/>
  <c r="L21" i="16" s="1"/>
  <c r="D26" i="15"/>
  <c r="L8" i="8"/>
  <c r="L48" i="8" s="1"/>
  <c r="L4" i="10"/>
  <c r="K24" i="16"/>
  <c r="S20" i="10"/>
  <c r="N24" i="16"/>
  <c r="P26" i="15"/>
  <c r="L28" i="16"/>
  <c r="L31" i="16" s="1"/>
  <c r="L48" i="12"/>
  <c r="L23" i="9"/>
  <c r="S20" i="1"/>
  <c r="L38" i="1"/>
  <c r="J11" i="15"/>
  <c r="G8" i="16"/>
  <c r="G11" i="16" s="1"/>
  <c r="K18" i="16"/>
  <c r="K21" i="16" s="1"/>
  <c r="D25" i="15"/>
  <c r="F48" i="11"/>
  <c r="S6" i="11" s="1"/>
  <c r="N24" i="15" s="1"/>
  <c r="N29" i="16"/>
  <c r="S20" i="12"/>
  <c r="L19" i="10"/>
  <c r="C28" i="16"/>
  <c r="C31" i="16" s="1"/>
  <c r="P22" i="15"/>
  <c r="E48" i="13"/>
  <c r="S5" i="13" s="1"/>
  <c r="S20" i="14"/>
  <c r="L19" i="13"/>
  <c r="Q31" i="16"/>
  <c r="L5" i="14"/>
  <c r="L48" i="14" s="1"/>
  <c r="F48" i="12"/>
  <c r="S6" i="12" s="1"/>
  <c r="O24" i="15" s="1"/>
  <c r="E29" i="16" s="1"/>
  <c r="L48" i="13"/>
  <c r="L42" i="10"/>
  <c r="A3" i="16"/>
  <c r="B38" i="15"/>
  <c r="H2" i="15"/>
  <c r="N20" i="15"/>
  <c r="B20" i="15"/>
  <c r="L34" i="6"/>
  <c r="L38" i="10"/>
  <c r="L42" i="13"/>
  <c r="D40" i="15"/>
  <c r="L26" i="6"/>
  <c r="L26" i="10"/>
  <c r="L30" i="13"/>
  <c r="L19" i="6"/>
  <c r="L22" i="10"/>
  <c r="L26" i="13"/>
  <c r="I47" i="15" l="1"/>
  <c r="J6" i="15"/>
  <c r="E8" i="16"/>
  <c r="E11" i="16" s="1"/>
  <c r="I43" i="15"/>
  <c r="P6" i="15"/>
  <c r="S13" i="12"/>
  <c r="B41" i="15"/>
  <c r="S13" i="13"/>
  <c r="C5" i="15"/>
  <c r="S13" i="2"/>
  <c r="L48" i="3"/>
  <c r="A18" i="16"/>
  <c r="A28" i="16"/>
  <c r="A23" i="16"/>
  <c r="A33" i="16"/>
  <c r="A13" i="16"/>
  <c r="A8" i="16"/>
  <c r="O5" i="15"/>
  <c r="P5" i="15" s="1"/>
  <c r="Q5" i="15" s="1"/>
  <c r="S13" i="6"/>
  <c r="G39" i="16"/>
  <c r="N23" i="15"/>
  <c r="S13" i="11"/>
  <c r="E16" i="16"/>
  <c r="D29" i="16"/>
  <c r="F29" i="16" s="1"/>
  <c r="J29" i="16" s="1"/>
  <c r="M29" i="16" s="1"/>
  <c r="O27" i="15"/>
  <c r="O33" i="15" s="1"/>
  <c r="O34" i="15" s="1"/>
  <c r="K11" i="16"/>
  <c r="C27" i="15"/>
  <c r="C33" i="15" s="1"/>
  <c r="C34" i="15" s="1"/>
  <c r="D19" i="16"/>
  <c r="F19" i="16" s="1"/>
  <c r="J19" i="16" s="1"/>
  <c r="M19" i="16" s="1"/>
  <c r="C39" i="16"/>
  <c r="I44" i="15"/>
  <c r="L39" i="16"/>
  <c r="B23" i="15"/>
  <c r="S13" i="7"/>
  <c r="H5" i="15"/>
  <c r="S13" i="3"/>
  <c r="I23" i="15"/>
  <c r="J23" i="15" s="1"/>
  <c r="K23" i="15" s="1"/>
  <c r="S13" i="10"/>
  <c r="E28" i="16"/>
  <c r="E31" i="16" s="1"/>
  <c r="P24" i="15"/>
  <c r="C45" i="15"/>
  <c r="C51" i="15" s="1"/>
  <c r="C52" i="15" s="1"/>
  <c r="D34" i="16"/>
  <c r="F34" i="16" s="1"/>
  <c r="J34" i="16" s="1"/>
  <c r="M34" i="16" s="1"/>
  <c r="D13" i="16"/>
  <c r="N9" i="15"/>
  <c r="I5" i="15"/>
  <c r="S13" i="4"/>
  <c r="H39" i="16"/>
  <c r="L48" i="10"/>
  <c r="I49" i="15"/>
  <c r="D3" i="16"/>
  <c r="B9" i="15"/>
  <c r="I48" i="15"/>
  <c r="K6" i="16"/>
  <c r="K39" i="16" s="1"/>
  <c r="D23" i="16"/>
  <c r="H27" i="15"/>
  <c r="I39" i="16"/>
  <c r="D6" i="15"/>
  <c r="E6" i="16"/>
  <c r="E39" i="16" l="1"/>
  <c r="I42" i="15"/>
  <c r="H33" i="15"/>
  <c r="D28" i="16"/>
  <c r="N27" i="15"/>
  <c r="P23" i="15"/>
  <c r="Q23" i="15" s="1"/>
  <c r="C9" i="15"/>
  <c r="C15" i="15" s="1"/>
  <c r="C16" i="15" s="1"/>
  <c r="D4" i="16"/>
  <c r="F4" i="16" s="1"/>
  <c r="J4" i="16" s="1"/>
  <c r="M4" i="16" s="1"/>
  <c r="H9" i="15"/>
  <c r="J5" i="15"/>
  <c r="K5" i="15" s="1"/>
  <c r="D8" i="16"/>
  <c r="D9" i="16"/>
  <c r="F9" i="16" s="1"/>
  <c r="J9" i="16" s="1"/>
  <c r="M9" i="16" s="1"/>
  <c r="I9" i="15"/>
  <c r="I15" i="15" s="1"/>
  <c r="I16" i="15" s="1"/>
  <c r="D23" i="15"/>
  <c r="E23" i="15" s="1"/>
  <c r="D18" i="16"/>
  <c r="B27" i="15"/>
  <c r="F23" i="16"/>
  <c r="P9" i="15"/>
  <c r="N15" i="15"/>
  <c r="B45" i="15"/>
  <c r="D41" i="15"/>
  <c r="E41" i="15" s="1"/>
  <c r="D33" i="16"/>
  <c r="D14" i="16"/>
  <c r="F14" i="16" s="1"/>
  <c r="J14" i="16" s="1"/>
  <c r="M14" i="16" s="1"/>
  <c r="O9" i="15"/>
  <c r="O15" i="15" s="1"/>
  <c r="O16" i="15" s="1"/>
  <c r="D16" i="16"/>
  <c r="D17" i="16" s="1"/>
  <c r="F13" i="16"/>
  <c r="D5" i="15"/>
  <c r="I27" i="15"/>
  <c r="I33" i="15" s="1"/>
  <c r="I34" i="15" s="1"/>
  <c r="D24" i="16"/>
  <c r="F24" i="16" s="1"/>
  <c r="J24" i="16" s="1"/>
  <c r="M24" i="16" s="1"/>
  <c r="B15" i="15"/>
  <c r="D6" i="16"/>
  <c r="F3" i="16"/>
  <c r="D11" i="16" l="1"/>
  <c r="D12" i="16" s="1"/>
  <c r="F8" i="16"/>
  <c r="D9" i="15"/>
  <c r="F6" i="16"/>
  <c r="J3" i="16"/>
  <c r="D45" i="15"/>
  <c r="B51" i="15"/>
  <c r="H15" i="15"/>
  <c r="J9" i="15"/>
  <c r="D15" i="15"/>
  <c r="B16" i="15"/>
  <c r="D16" i="15" s="1"/>
  <c r="P15" i="15"/>
  <c r="N16" i="15"/>
  <c r="P16" i="15" s="1"/>
  <c r="F33" i="16"/>
  <c r="D36" i="16"/>
  <c r="D37" i="16" s="1"/>
  <c r="F16" i="16"/>
  <c r="J13" i="16"/>
  <c r="D7" i="16"/>
  <c r="D26" i="16"/>
  <c r="D27" i="16" s="1"/>
  <c r="I41" i="15"/>
  <c r="J41" i="15" s="1"/>
  <c r="E5" i="15"/>
  <c r="D31" i="16"/>
  <c r="D32" i="16" s="1"/>
  <c r="F28" i="16"/>
  <c r="J27" i="15"/>
  <c r="J23" i="16"/>
  <c r="F26" i="16"/>
  <c r="N33" i="15"/>
  <c r="P27" i="15"/>
  <c r="B33" i="15"/>
  <c r="D27" i="15"/>
  <c r="D21" i="16"/>
  <c r="D22" i="16" s="1"/>
  <c r="F18" i="16"/>
  <c r="J33" i="15"/>
  <c r="H34" i="15"/>
  <c r="J34" i="15" s="1"/>
  <c r="F21" i="16" l="1"/>
  <c r="J18" i="16"/>
  <c r="J15" i="15"/>
  <c r="H16" i="15"/>
  <c r="J16" i="15" s="1"/>
  <c r="I52" i="15" s="1"/>
  <c r="J28" i="16"/>
  <c r="F31" i="16"/>
  <c r="D33" i="15"/>
  <c r="I51" i="15" s="1"/>
  <c r="B34" i="15"/>
  <c r="D34" i="15" s="1"/>
  <c r="P33" i="15"/>
  <c r="N34" i="15"/>
  <c r="P34" i="15" s="1"/>
  <c r="J26" i="16"/>
  <c r="M23" i="16"/>
  <c r="M26" i="16" s="1"/>
  <c r="J33" i="16"/>
  <c r="F36" i="16"/>
  <c r="J8" i="16"/>
  <c r="F11" i="16"/>
  <c r="F39" i="16" s="1"/>
  <c r="D51" i="15"/>
  <c r="B52" i="15"/>
  <c r="D52" i="15" s="1"/>
  <c r="D39" i="16"/>
  <c r="D40" i="16" s="1"/>
  <c r="M13" i="16"/>
  <c r="M16" i="16" s="1"/>
  <c r="J16" i="16"/>
  <c r="M3" i="16"/>
  <c r="M6" i="16" s="1"/>
  <c r="J6" i="16"/>
  <c r="I45" i="15"/>
  <c r="M18" i="16" l="1"/>
  <c r="M21" i="16" s="1"/>
  <c r="J21" i="16"/>
  <c r="M8" i="16"/>
  <c r="M11" i="16" s="1"/>
  <c r="J11" i="16"/>
  <c r="M28" i="16"/>
  <c r="M31" i="16" s="1"/>
  <c r="J31" i="16"/>
  <c r="M33" i="16"/>
  <c r="M36" i="16" s="1"/>
  <c r="M39" i="16" s="1"/>
  <c r="J36" i="16"/>
  <c r="J39" i="16"/>
  <c r="S16" i="16"/>
  <c r="S26" i="16" s="1"/>
</calcChain>
</file>

<file path=xl/sharedStrings.xml><?xml version="1.0" encoding="utf-8"?>
<sst xmlns="http://schemas.openxmlformats.org/spreadsheetml/2006/main" count="1852" uniqueCount="234">
  <si>
    <t xml:space="preserve">Date </t>
  </si>
  <si>
    <t xml:space="preserve">Shift </t>
  </si>
  <si>
    <t>AM</t>
  </si>
  <si>
    <t>Car</t>
  </si>
  <si>
    <t>Driver</t>
  </si>
  <si>
    <t>Book</t>
  </si>
  <si>
    <t>Comm </t>
  </si>
  <si>
    <t>Radio</t>
  </si>
  <si>
    <t>NYC CF</t>
  </si>
  <si>
    <t>PA Fee</t>
  </si>
  <si>
    <t>CC</t>
  </si>
  <si>
    <t>DB</t>
  </si>
  <si>
    <t>Misc</t>
  </si>
  <si>
    <t>NTD</t>
  </si>
  <si>
    <t>Cash in/out</t>
  </si>
  <si>
    <t>Driver Short </t>
  </si>
  <si>
    <t>Notes</t>
  </si>
  <si>
    <t>70</t>
  </si>
  <si>
    <t>Alan C</t>
  </si>
  <si>
    <t>Total Book</t>
  </si>
  <si>
    <t>20</t>
  </si>
  <si>
    <t>Hammad 125</t>
  </si>
  <si>
    <t>Comp Comm</t>
  </si>
  <si>
    <t>114</t>
  </si>
  <si>
    <t>Ash 114</t>
  </si>
  <si>
    <t>326</t>
  </si>
  <si>
    <t>Obaydou 326</t>
  </si>
  <si>
    <t>33</t>
  </si>
  <si>
    <t>Adnan</t>
  </si>
  <si>
    <t>155</t>
  </si>
  <si>
    <t>Abed 155</t>
  </si>
  <si>
    <t>02</t>
  </si>
  <si>
    <t>Alvis</t>
  </si>
  <si>
    <t>133</t>
  </si>
  <si>
    <t>Bobby 133</t>
  </si>
  <si>
    <t>176</t>
  </si>
  <si>
    <t>Djilali 176</t>
  </si>
  <si>
    <t>Driver Short</t>
  </si>
  <si>
    <t>454</t>
  </si>
  <si>
    <t>Agha 454</t>
  </si>
  <si>
    <t>88</t>
  </si>
  <si>
    <t>Ayad</t>
  </si>
  <si>
    <t>Cash</t>
  </si>
  <si>
    <t>96</t>
  </si>
  <si>
    <t>Esmail</t>
  </si>
  <si>
    <t>26</t>
  </si>
  <si>
    <t>Gus</t>
  </si>
  <si>
    <t>11</t>
  </si>
  <si>
    <t>Hashem</t>
  </si>
  <si>
    <t>27</t>
  </si>
  <si>
    <t>Hassan</t>
  </si>
  <si>
    <t>House Cars</t>
  </si>
  <si>
    <t>44</t>
  </si>
  <si>
    <t>Ihab</t>
  </si>
  <si>
    <t>Private Cars</t>
  </si>
  <si>
    <t>77</t>
  </si>
  <si>
    <t>Nofal</t>
  </si>
  <si>
    <t>Total</t>
  </si>
  <si>
    <t>Ibrahim</t>
  </si>
  <si>
    <t>c</t>
  </si>
  <si>
    <t>Kim</t>
  </si>
  <si>
    <t>622</t>
  </si>
  <si>
    <t>Joseph 622</t>
  </si>
  <si>
    <t>01</t>
  </si>
  <si>
    <t>Kamal</t>
  </si>
  <si>
    <t>55</t>
  </si>
  <si>
    <t>Karlo</t>
  </si>
  <si>
    <t>Kattr</t>
  </si>
  <si>
    <t>Khaled</t>
  </si>
  <si>
    <t>844</t>
  </si>
  <si>
    <t>Khodr 844</t>
  </si>
  <si>
    <t>644</t>
  </si>
  <si>
    <t>Muhiddin 644</t>
  </si>
  <si>
    <t>109</t>
  </si>
  <si>
    <t>Nasser 109</t>
  </si>
  <si>
    <t>25</t>
  </si>
  <si>
    <t>Mustapha</t>
  </si>
  <si>
    <t>05</t>
  </si>
  <si>
    <t>Nassim</t>
  </si>
  <si>
    <t>Sayed</t>
  </si>
  <si>
    <t>Rabah</t>
  </si>
  <si>
    <t>Rachid</t>
  </si>
  <si>
    <t>510</t>
  </si>
  <si>
    <t>Samuel 510</t>
  </si>
  <si>
    <t>132</t>
  </si>
  <si>
    <t>Samir 132</t>
  </si>
  <si>
    <t>137</t>
  </si>
  <si>
    <t>Osama 137</t>
  </si>
  <si>
    <t>Shalaby</t>
  </si>
  <si>
    <t>18</t>
  </si>
  <si>
    <t>Spike</t>
  </si>
  <si>
    <t>169</t>
  </si>
  <si>
    <t>Tariq 169</t>
  </si>
  <si>
    <t>610</t>
  </si>
  <si>
    <t>Rizwan 610</t>
  </si>
  <si>
    <t>Willy</t>
  </si>
  <si>
    <t>Ragueb</t>
  </si>
  <si>
    <t>15</t>
  </si>
  <si>
    <t>Yousef</t>
  </si>
  <si>
    <t>99</t>
  </si>
  <si>
    <t>Rushdi</t>
  </si>
  <si>
    <t>4/6</t>
  </si>
  <si>
    <t>Deducted $14 for 4/7</t>
  </si>
  <si>
    <t>Deducted $56 for 4/8</t>
  </si>
  <si>
    <t>80</t>
  </si>
  <si>
    <t>122</t>
  </si>
  <si>
    <t>Anas 122</t>
  </si>
  <si>
    <t>Hesham</t>
  </si>
  <si>
    <t>Deducted $8 for 4/10</t>
  </si>
  <si>
    <t>Deducted $1 for 4/10</t>
  </si>
  <si>
    <t>Deducted $4 for 4/7 &amp; 4/8</t>
  </si>
  <si>
    <t>012</t>
  </si>
  <si>
    <t>PM</t>
  </si>
  <si>
    <t>138</t>
  </si>
  <si>
    <t>Akram 138</t>
  </si>
  <si>
    <t>277</t>
  </si>
  <si>
    <t>Nasser 277</t>
  </si>
  <si>
    <t>667</t>
  </si>
  <si>
    <t>Abid 667</t>
  </si>
  <si>
    <t>Alhassan</t>
  </si>
  <si>
    <t>210</t>
  </si>
  <si>
    <t>Boumadian</t>
  </si>
  <si>
    <t>Hamed</t>
  </si>
  <si>
    <t>Cono</t>
  </si>
  <si>
    <t>Hamdy</t>
  </si>
  <si>
    <t>Divakar</t>
  </si>
  <si>
    <t>Hosari</t>
  </si>
  <si>
    <t>345</t>
  </si>
  <si>
    <t>Abood 345</t>
  </si>
  <si>
    <t>Johnny 120</t>
  </si>
  <si>
    <t>Kuhali</t>
  </si>
  <si>
    <t>95</t>
  </si>
  <si>
    <t>Maroc</t>
  </si>
  <si>
    <t>Mourad</t>
  </si>
  <si>
    <t>06</t>
  </si>
  <si>
    <t>Peter</t>
  </si>
  <si>
    <t>Madjid</t>
  </si>
  <si>
    <t>Smail</t>
  </si>
  <si>
    <t>Deducted $22 for 4/10 &amp; 4/9</t>
  </si>
  <si>
    <t>Soufiane</t>
  </si>
  <si>
    <t>Reda</t>
  </si>
  <si>
    <t>Zaki</t>
  </si>
  <si>
    <t>662</t>
  </si>
  <si>
    <t>Aly 662</t>
  </si>
  <si>
    <t>Deducted $1 for 4/9</t>
  </si>
  <si>
    <t>445</t>
  </si>
  <si>
    <t>Sadiki 445</t>
  </si>
  <si>
    <t>7</t>
  </si>
  <si>
    <t>Shousha</t>
  </si>
  <si>
    <t>Sayah</t>
  </si>
  <si>
    <t>101</t>
  </si>
  <si>
    <t>Helal 101</t>
  </si>
  <si>
    <t>434</t>
  </si>
  <si>
    <t>Radwan 434</t>
  </si>
  <si>
    <t>Deducted $13 for 4/9</t>
  </si>
  <si>
    <t>Deducted $7 for 4/6</t>
  </si>
  <si>
    <t>Fahed</t>
  </si>
  <si>
    <t>Deducted $49 for 4/6 &amp; 4/8</t>
  </si>
  <si>
    <t>John Meza</t>
  </si>
  <si>
    <t>98</t>
  </si>
  <si>
    <t>Deducted $2 for 4/10</t>
  </si>
  <si>
    <t>Deducted $5 for 4/9</t>
  </si>
  <si>
    <t>395</t>
  </si>
  <si>
    <t>Alibrahim 395</t>
  </si>
  <si>
    <t>Mahmoud</t>
  </si>
  <si>
    <t>158</t>
  </si>
  <si>
    <t>Khamis 158</t>
  </si>
  <si>
    <t>Deducted $4 for 4/7</t>
  </si>
  <si>
    <t>263</t>
  </si>
  <si>
    <t>Tarek 263</t>
  </si>
  <si>
    <t>Tanios</t>
  </si>
  <si>
    <t>Deducted $7 for 4/10, 4/7 &amp; 4/8</t>
  </si>
  <si>
    <t>Deducted $62 for 4/7 &amp; 4/8</t>
  </si>
  <si>
    <t>Bouchenine</t>
  </si>
  <si>
    <t>Deducted $7 for 4/7</t>
  </si>
  <si>
    <t>Elia</t>
  </si>
  <si>
    <t>400</t>
  </si>
  <si>
    <t>Mriouah 400</t>
  </si>
  <si>
    <t>411</t>
  </si>
  <si>
    <t>Etiennne 411</t>
  </si>
  <si>
    <t>507</t>
  </si>
  <si>
    <t>Mukhtar 507</t>
  </si>
  <si>
    <t>139</t>
  </si>
  <si>
    <t>Yehia 139</t>
  </si>
  <si>
    <t>Deducted $1 for 4/6</t>
  </si>
  <si>
    <t>Deducted $2 for 4/8</t>
  </si>
  <si>
    <t>125</t>
  </si>
  <si>
    <t>393</t>
  </si>
  <si>
    <t>Ashraf 393</t>
  </si>
  <si>
    <t>Darir</t>
  </si>
  <si>
    <t>50</t>
  </si>
  <si>
    <t>Hegazy</t>
  </si>
  <si>
    <t>Saddiki 445</t>
  </si>
  <si>
    <t>409</t>
  </si>
  <si>
    <t>Wael 409</t>
  </si>
  <si>
    <t>801</t>
  </si>
  <si>
    <t>Saleh 801</t>
  </si>
  <si>
    <t>665</t>
  </si>
  <si>
    <t>Said 665</t>
  </si>
  <si>
    <t>Curtis</t>
  </si>
  <si>
    <t>May</t>
  </si>
  <si>
    <t>Denise</t>
  </si>
  <si>
    <t>Boss</t>
  </si>
  <si>
    <t># Trips</t>
  </si>
  <si>
    <t>Gross Book</t>
  </si>
  <si>
    <t>Gross Profit</t>
  </si>
  <si>
    <t>Credit Card</t>
  </si>
  <si>
    <t>Direct Bill</t>
  </si>
  <si>
    <t>Net Cash</t>
  </si>
  <si>
    <t>Total Cash</t>
  </si>
  <si>
    <t/>
  </si>
  <si>
    <t>NYC GF</t>
  </si>
  <si>
    <t>Weekly Summary</t>
  </si>
  <si>
    <t>   Includes NYC CF </t>
  </si>
  <si>
    <t>`</t>
  </si>
  <si>
    <t>DATE</t>
  </si>
  <si>
    <t>SHIFT</t>
  </si>
  <si>
    <t>GROSS</t>
  </si>
  <si>
    <t>COMM</t>
  </si>
  <si>
    <t>RADIO</t>
  </si>
  <si>
    <t>TOTAL</t>
  </si>
  <si>
    <t>MISC</t>
  </si>
  <si>
    <t>CASH</t>
  </si>
  <si>
    <t>PA FEE</t>
  </si>
  <si>
    <t>TOTAL CASH</t>
  </si>
  <si>
    <t># CARS</t>
  </si>
  <si>
    <t>House</t>
  </si>
  <si>
    <t>Private</t>
  </si>
  <si>
    <t>Amount</t>
  </si>
  <si>
    <t>x</t>
  </si>
  <si>
    <t>.</t>
  </si>
  <si>
    <t>Mail + Stamps</t>
  </si>
  <si>
    <t>Zelle $1919</t>
  </si>
  <si>
    <t>Cash $0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</si>
</sst>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.00"/>
    <numFmt numFmtId="165" formatCode="0.0%"/>
    <numFmt numFmtId="166" formatCode="m/d;@"/>
    <numFmt numFmtId="167" formatCode="_([$$-409]* #,##0.00_);_([$$-409]* \(#,##0.00\);_([$$-409]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444444"/>
      <name val="Calibri"/>
      <family val="2"/>
      <charset val="1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5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indexed="64"/>
      </patternFill>
    </fill>
  </fills>
  <borders count="9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1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4" fontId="1" fillId="0" borderId="0" xfId="0" applyNumberFormat="1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44" fontId="0" fillId="0" borderId="4" xfId="0" applyNumberFormat="1" applyBorder="1" applyAlignment="1">
      <alignment horizontal="center"/>
    </xf>
    <xf numFmtId="44" fontId="0" fillId="0" borderId="4" xfId="0" applyNumberFormat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44" fontId="0" fillId="0" borderId="5" xfId="0" applyNumberFormat="1" applyBorder="1" applyAlignment="1">
      <alignment horizontal="center"/>
    </xf>
    <xf numFmtId="44" fontId="0" fillId="0" borderId="8" xfId="0" applyNumberFormat="1" applyBorder="1"/>
    <xf numFmtId="44" fontId="0" fillId="0" borderId="10" xfId="0" applyNumberFormat="1" applyBorder="1"/>
    <xf numFmtId="44" fontId="0" fillId="0" borderId="12" xfId="0" applyNumberFormat="1" applyBorder="1"/>
    <xf numFmtId="0" fontId="1" fillId="0" borderId="7" xfId="0" applyFont="1" applyBorder="1"/>
    <xf numFmtId="0" fontId="1" fillId="0" borderId="9" xfId="0" applyFont="1" applyBorder="1"/>
    <xf numFmtId="0" fontId="1" fillId="0" borderId="11" xfId="0" applyFont="1" applyBorder="1"/>
    <xf numFmtId="0" fontId="1" fillId="0" borderId="0" xfId="0" applyFont="1"/>
    <xf numFmtId="0" fontId="1" fillId="0" borderId="1" xfId="0" applyFont="1" applyBorder="1"/>
    <xf numFmtId="164" fontId="1" fillId="0" borderId="3" xfId="0" applyNumberFormat="1" applyFont="1" applyBorder="1"/>
    <xf numFmtId="44" fontId="1" fillId="0" borderId="0" xfId="0" applyNumberFormat="1" applyFont="1" applyAlignment="1">
      <alignment horizontal="center"/>
    </xf>
    <xf numFmtId="44" fontId="0" fillId="0" borderId="0" xfId="0" applyNumberFormat="1"/>
    <xf numFmtId="49" fontId="1" fillId="0" borderId="2" xfId="0" applyNumberFormat="1" applyFon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4" fontId="0" fillId="2" borderId="5" xfId="0" applyNumberFormat="1" applyFill="1" applyBorder="1" applyAlignment="1">
      <alignment horizontal="center"/>
    </xf>
    <xf numFmtId="44" fontId="2" fillId="2" borderId="0" xfId="0" applyNumberFormat="1" applyFont="1" applyFill="1"/>
    <xf numFmtId="44" fontId="0" fillId="3" borderId="5" xfId="0" applyNumberFormat="1" applyFill="1" applyBorder="1" applyAlignment="1">
      <alignment horizontal="center"/>
    </xf>
    <xf numFmtId="44" fontId="0" fillId="3" borderId="4" xfId="0" applyNumberFormat="1" applyFill="1" applyBorder="1" applyAlignment="1">
      <alignment horizontal="center"/>
    </xf>
    <xf numFmtId="44" fontId="0" fillId="3" borderId="4" xfId="0" applyNumberFormat="1" applyFill="1" applyBorder="1"/>
    <xf numFmtId="0" fontId="3" fillId="2" borderId="0" xfId="0" applyFont="1" applyFill="1"/>
    <xf numFmtId="0" fontId="0" fillId="2" borderId="0" xfId="0" applyFill="1"/>
    <xf numFmtId="44" fontId="0" fillId="0" borderId="0" xfId="0" applyNumberFormat="1" applyAlignment="1">
      <alignment horizontal="center"/>
    </xf>
    <xf numFmtId="0" fontId="1" fillId="0" borderId="15" xfId="0" applyFont="1" applyBorder="1" applyAlignment="1">
      <alignment horizontal="center"/>
    </xf>
    <xf numFmtId="16" fontId="1" fillId="0" borderId="17" xfId="0" applyNumberFormat="1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17" xfId="0" applyFont="1" applyBorder="1" applyAlignment="1">
      <alignment horizontal="center"/>
    </xf>
    <xf numFmtId="44" fontId="0" fillId="0" borderId="17" xfId="0" applyNumberFormat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44" fontId="3" fillId="0" borderId="4" xfId="0" applyNumberFormat="1" applyFont="1" applyBorder="1" applyAlignment="1">
      <alignment horizontal="center"/>
    </xf>
    <xf numFmtId="0" fontId="1" fillId="2" borderId="11" xfId="0" applyFont="1" applyFill="1" applyBorder="1" applyAlignment="1">
      <alignment horizontal="left"/>
    </xf>
    <xf numFmtId="44" fontId="0" fillId="2" borderId="19" xfId="0" applyNumberFormat="1" applyFill="1" applyBorder="1" applyAlignment="1">
      <alignment horizontal="center"/>
    </xf>
    <xf numFmtId="44" fontId="0" fillId="2" borderId="12" xfId="0" applyNumberFormat="1" applyFill="1" applyBorder="1" applyAlignment="1">
      <alignment horizontal="center"/>
    </xf>
    <xf numFmtId="44" fontId="0" fillId="2" borderId="17" xfId="0" applyNumberFormat="1" applyFill="1" applyBorder="1" applyAlignment="1">
      <alignment horizontal="center"/>
    </xf>
    <xf numFmtId="0" fontId="1" fillId="0" borderId="0" xfId="0" applyFont="1" applyAlignment="1">
      <alignment horizontal="left"/>
    </xf>
    <xf numFmtId="44" fontId="4" fillId="0" borderId="17" xfId="0" applyNumberFormat="1" applyFont="1" applyBorder="1" applyAlignment="1">
      <alignment horizontal="center"/>
    </xf>
    <xf numFmtId="44" fontId="4" fillId="0" borderId="4" xfId="0" applyNumberFormat="1" applyFont="1" applyBorder="1" applyAlignment="1">
      <alignment horizontal="center"/>
    </xf>
    <xf numFmtId="0" fontId="1" fillId="0" borderId="11" xfId="0" applyFont="1" applyBorder="1" applyAlignment="1">
      <alignment horizontal="left"/>
    </xf>
    <xf numFmtId="0" fontId="0" fillId="0" borderId="0" xfId="0" applyAlignment="1">
      <alignment horizontal="left"/>
    </xf>
    <xf numFmtId="44" fontId="0" fillId="0" borderId="16" xfId="0" applyNumberFormat="1" applyBorder="1" applyAlignment="1">
      <alignment horizontal="center"/>
    </xf>
    <xf numFmtId="44" fontId="0" fillId="2" borderId="8" xfId="0" applyNumberFormat="1" applyFill="1" applyBorder="1" applyAlignment="1">
      <alignment horizontal="center"/>
    </xf>
    <xf numFmtId="44" fontId="0" fillId="0" borderId="19" xfId="0" applyNumberForma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0" xfId="0" applyFont="1" applyBorder="1" applyAlignment="1">
      <alignment horizontal="center"/>
    </xf>
    <xf numFmtId="44" fontId="0" fillId="2" borderId="17" xfId="0" applyNumberFormat="1" applyFill="1" applyBorder="1"/>
    <xf numFmtId="0" fontId="0" fillId="0" borderId="17" xfId="0" applyBorder="1"/>
    <xf numFmtId="0" fontId="5" fillId="0" borderId="17" xfId="0" applyFont="1" applyBorder="1"/>
    <xf numFmtId="0" fontId="1" fillId="0" borderId="27" xfId="0" applyFont="1" applyBorder="1" applyAlignment="1">
      <alignment horizontal="left"/>
    </xf>
    <xf numFmtId="44" fontId="3" fillId="0" borderId="28" xfId="0" applyNumberFormat="1" applyFont="1" applyBorder="1" applyAlignment="1">
      <alignment horizontal="center"/>
    </xf>
    <xf numFmtId="0" fontId="1" fillId="0" borderId="29" xfId="0" applyFont="1" applyBorder="1" applyAlignment="1">
      <alignment horizontal="left"/>
    </xf>
    <xf numFmtId="44" fontId="3" fillId="0" borderId="30" xfId="0" applyNumberFormat="1" applyFont="1" applyBorder="1" applyAlignment="1">
      <alignment horizontal="center"/>
    </xf>
    <xf numFmtId="0" fontId="1" fillId="2" borderId="31" xfId="0" applyFont="1" applyFill="1" applyBorder="1" applyAlignment="1">
      <alignment horizontal="left"/>
    </xf>
    <xf numFmtId="44" fontId="3" fillId="0" borderId="32" xfId="0" applyNumberFormat="1" applyFont="1" applyBorder="1" applyAlignment="1">
      <alignment horizontal="center"/>
    </xf>
    <xf numFmtId="0" fontId="1" fillId="0" borderId="31" xfId="0" applyFont="1" applyBorder="1" applyAlignment="1">
      <alignment horizontal="left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44" fontId="0" fillId="2" borderId="0" xfId="0" applyNumberFormat="1" applyFill="1" applyAlignment="1">
      <alignment horizontal="center"/>
    </xf>
    <xf numFmtId="44" fontId="4" fillId="0" borderId="0" xfId="0" applyNumberFormat="1" applyFont="1" applyAlignment="1">
      <alignment horizontal="center"/>
    </xf>
    <xf numFmtId="44" fontId="4" fillId="2" borderId="0" xfId="0" applyNumberFormat="1" applyFont="1" applyFill="1" applyAlignment="1">
      <alignment horizontal="left" vertical="center"/>
    </xf>
    <xf numFmtId="0" fontId="5" fillId="0" borderId="24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44" fontId="3" fillId="0" borderId="16" xfId="0" applyNumberFormat="1" applyFont="1" applyBorder="1" applyAlignment="1">
      <alignment horizontal="center"/>
    </xf>
    <xf numFmtId="44" fontId="0" fillId="0" borderId="8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44" fontId="4" fillId="0" borderId="40" xfId="0" applyNumberFormat="1" applyFont="1" applyBorder="1" applyAlignment="1">
      <alignment horizontal="center"/>
    </xf>
    <xf numFmtId="44" fontId="4" fillId="0" borderId="36" xfId="0" applyNumberFormat="1" applyFont="1" applyBorder="1" applyAlignment="1">
      <alignment horizontal="center"/>
    </xf>
    <xf numFmtId="44" fontId="4" fillId="0" borderId="37" xfId="0" applyNumberFormat="1" applyFont="1" applyBorder="1" applyAlignment="1">
      <alignment horizontal="center"/>
    </xf>
    <xf numFmtId="44" fontId="4" fillId="0" borderId="41" xfId="0" applyNumberFormat="1" applyFont="1" applyBorder="1" applyAlignment="1">
      <alignment horizontal="center"/>
    </xf>
    <xf numFmtId="44" fontId="4" fillId="0" borderId="42" xfId="0" applyNumberFormat="1" applyFont="1" applyBorder="1" applyAlignment="1">
      <alignment horizontal="center"/>
    </xf>
    <xf numFmtId="0" fontId="1" fillId="0" borderId="43" xfId="0" applyFont="1" applyBorder="1" applyAlignment="1">
      <alignment horizontal="left"/>
    </xf>
    <xf numFmtId="44" fontId="4" fillId="0" borderId="44" xfId="0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49" fontId="0" fillId="2" borderId="4" xfId="0" applyNumberFormat="1" applyFill="1" applyBorder="1" applyAlignment="1">
      <alignment horizontal="center"/>
    </xf>
    <xf numFmtId="0" fontId="0" fillId="0" borderId="39" xfId="0" applyBorder="1" applyAlignment="1">
      <alignment horizontal="center" vertical="center"/>
    </xf>
    <xf numFmtId="165" fontId="0" fillId="0" borderId="17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2" borderId="0" xfId="0" applyFont="1" applyFill="1" applyAlignment="1">
      <alignment horizontal="center"/>
    </xf>
    <xf numFmtId="44" fontId="0" fillId="0" borderId="10" xfId="0" applyNumberFormat="1" applyBorder="1" applyAlignment="1">
      <alignment horizontal="center"/>
    </xf>
    <xf numFmtId="44" fontId="0" fillId="0" borderId="12" xfId="0" applyNumberFormat="1" applyBorder="1" applyAlignment="1">
      <alignment horizontal="center"/>
    </xf>
    <xf numFmtId="44" fontId="1" fillId="0" borderId="2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49" fontId="7" fillId="0" borderId="4" xfId="0" applyNumberFormat="1" applyFont="1" applyBorder="1" applyAlignment="1">
      <alignment horizontal="center"/>
    </xf>
    <xf numFmtId="16" fontId="0" fillId="0" borderId="0" xfId="0" applyNumberFormat="1"/>
    <xf numFmtId="49" fontId="0" fillId="0" borderId="0" xfId="0" applyNumberFormat="1"/>
    <xf numFmtId="14" fontId="0" fillId="0" borderId="0" xfId="0" applyNumberFormat="1"/>
    <xf numFmtId="166" fontId="1" fillId="0" borderId="13" xfId="0" applyNumberFormat="1" applyFont="1" applyBorder="1" applyAlignment="1">
      <alignment horizontal="center"/>
    </xf>
    <xf numFmtId="166" fontId="1" fillId="0" borderId="3" xfId="0" applyNumberFormat="1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44" fontId="1" fillId="0" borderId="45" xfId="0" applyNumberFormat="1" applyFont="1" applyBorder="1" applyAlignment="1">
      <alignment horizontal="center" vertical="center"/>
    </xf>
    <xf numFmtId="44" fontId="1" fillId="0" borderId="46" xfId="0" applyNumberFormat="1" applyFont="1" applyBorder="1" applyAlignment="1">
      <alignment horizontal="center"/>
    </xf>
    <xf numFmtId="44" fontId="1" fillId="0" borderId="47" xfId="0" applyNumberFormat="1" applyFont="1" applyBorder="1" applyAlignment="1">
      <alignment horizontal="center"/>
    </xf>
    <xf numFmtId="44" fontId="1" fillId="0" borderId="48" xfId="0" applyNumberFormat="1" applyFont="1" applyBorder="1" applyAlignment="1">
      <alignment horizontal="center"/>
    </xf>
    <xf numFmtId="44" fontId="0" fillId="4" borderId="1" xfId="0" applyNumberFormat="1" applyFill="1" applyBorder="1" applyAlignment="1">
      <alignment horizontal="center" vertical="center"/>
    </xf>
    <xf numFmtId="44" fontId="0" fillId="4" borderId="2" xfId="0" applyNumberFormat="1" applyFill="1" applyBorder="1" applyAlignment="1">
      <alignment horizontal="center"/>
    </xf>
    <xf numFmtId="44" fontId="0" fillId="4" borderId="2" xfId="0" applyNumberFormat="1" applyFill="1" applyBorder="1"/>
    <xf numFmtId="44" fontId="0" fillId="4" borderId="3" xfId="0" applyNumberFormat="1" applyFill="1" applyBorder="1"/>
    <xf numFmtId="0" fontId="1" fillId="0" borderId="51" xfId="0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166" fontId="1" fillId="0" borderId="53" xfId="0" applyNumberFormat="1" applyFont="1" applyBorder="1" applyAlignment="1">
      <alignment horizontal="center" vertical="center"/>
    </xf>
    <xf numFmtId="44" fontId="1" fillId="0" borderId="54" xfId="0" applyNumberFormat="1" applyFont="1" applyBorder="1" applyAlignment="1">
      <alignment horizontal="center"/>
    </xf>
    <xf numFmtId="44" fontId="0" fillId="0" borderId="55" xfId="0" applyNumberFormat="1" applyBorder="1"/>
    <xf numFmtId="44" fontId="0" fillId="5" borderId="54" xfId="0" applyNumberFormat="1" applyFill="1" applyBorder="1"/>
    <xf numFmtId="44" fontId="0" fillId="0" borderId="54" xfId="0" applyNumberFormat="1" applyBorder="1"/>
    <xf numFmtId="44" fontId="0" fillId="0" borderId="56" xfId="0" applyNumberFormat="1" applyBorder="1"/>
    <xf numFmtId="44" fontId="0" fillId="5" borderId="57" xfId="0" applyNumberFormat="1" applyFill="1" applyBorder="1"/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166" fontId="1" fillId="0" borderId="58" xfId="0" applyNumberFormat="1" applyFont="1" applyBorder="1" applyAlignment="1">
      <alignment horizontal="center" vertical="center"/>
    </xf>
    <xf numFmtId="44" fontId="1" fillId="0" borderId="59" xfId="0" applyNumberFormat="1" applyFont="1" applyBorder="1" applyAlignment="1">
      <alignment horizontal="center"/>
    </xf>
    <xf numFmtId="44" fontId="0" fillId="0" borderId="59" xfId="0" applyNumberFormat="1" applyBorder="1"/>
    <xf numFmtId="44" fontId="0" fillId="5" borderId="59" xfId="0" applyNumberFormat="1" applyFill="1" applyBorder="1"/>
    <xf numFmtId="44" fontId="0" fillId="0" borderId="60" xfId="0" applyNumberFormat="1" applyBorder="1"/>
    <xf numFmtId="0" fontId="0" fillId="0" borderId="61" xfId="0" applyBorder="1" applyAlignment="1">
      <alignment horizontal="center"/>
    </xf>
    <xf numFmtId="0" fontId="0" fillId="0" borderId="52" xfId="0" applyBorder="1" applyAlignment="1">
      <alignment horizontal="center"/>
    </xf>
    <xf numFmtId="44" fontId="1" fillId="0" borderId="62" xfId="0" applyNumberFormat="1" applyFont="1" applyBorder="1" applyAlignment="1">
      <alignment horizontal="center" vertical="center"/>
    </xf>
    <xf numFmtId="44" fontId="0" fillId="0" borderId="63" xfId="0" applyNumberFormat="1" applyBorder="1"/>
    <xf numFmtId="0" fontId="0" fillId="0" borderId="63" xfId="0" applyBorder="1" applyAlignment="1">
      <alignment horizontal="center"/>
    </xf>
    <xf numFmtId="44" fontId="1" fillId="0" borderId="64" xfId="0" applyNumberFormat="1" applyFont="1" applyBorder="1" applyAlignment="1">
      <alignment horizontal="center" vertical="center"/>
    </xf>
    <xf numFmtId="44" fontId="1" fillId="0" borderId="65" xfId="0" applyNumberFormat="1" applyFont="1" applyBorder="1" applyAlignment="1">
      <alignment horizontal="center"/>
    </xf>
    <xf numFmtId="44" fontId="0" fillId="0" borderId="65" xfId="0" applyNumberFormat="1" applyBorder="1"/>
    <xf numFmtId="44" fontId="0" fillId="0" borderId="66" xfId="0" applyNumberFormat="1" applyBorder="1"/>
    <xf numFmtId="0" fontId="0" fillId="0" borderId="67" xfId="0" applyBorder="1" applyAlignment="1">
      <alignment horizontal="center"/>
    </xf>
    <xf numFmtId="0" fontId="0" fillId="0" borderId="68" xfId="0" applyBorder="1" applyAlignment="1">
      <alignment horizontal="center"/>
    </xf>
    <xf numFmtId="44" fontId="1" fillId="4" borderId="1" xfId="0" applyNumberFormat="1" applyFont="1" applyFill="1" applyBorder="1" applyAlignment="1">
      <alignment horizontal="center" vertical="center"/>
    </xf>
    <xf numFmtId="44" fontId="1" fillId="4" borderId="2" xfId="0" applyNumberFormat="1" applyFont="1" applyFill="1" applyBorder="1" applyAlignment="1">
      <alignment horizontal="center"/>
    </xf>
    <xf numFmtId="165" fontId="1" fillId="4" borderId="2" xfId="0" applyNumberFormat="1" applyFont="1" applyFill="1" applyBorder="1" applyAlignment="1">
      <alignment horizontal="center"/>
    </xf>
    <xf numFmtId="0" fontId="1" fillId="0" borderId="69" xfId="0" applyFont="1" applyBorder="1" applyAlignment="1">
      <alignment horizontal="center"/>
    </xf>
    <xf numFmtId="0" fontId="1" fillId="0" borderId="70" xfId="0" applyFont="1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71" xfId="0" applyBorder="1"/>
    <xf numFmtId="0" fontId="0" fillId="0" borderId="72" xfId="0" applyBorder="1"/>
    <xf numFmtId="0" fontId="0" fillId="0" borderId="62" xfId="0" applyBorder="1"/>
    <xf numFmtId="0" fontId="0" fillId="0" borderId="63" xfId="0" applyBorder="1"/>
    <xf numFmtId="44" fontId="7" fillId="0" borderId="54" xfId="0" applyNumberFormat="1" applyFont="1" applyBorder="1"/>
    <xf numFmtId="0" fontId="0" fillId="0" borderId="64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73" xfId="0" applyBorder="1"/>
    <xf numFmtId="44" fontId="0" fillId="0" borderId="74" xfId="0" applyNumberFormat="1" applyBorder="1"/>
    <xf numFmtId="44" fontId="1" fillId="0" borderId="75" xfId="0" applyNumberFormat="1" applyFont="1" applyBorder="1" applyAlignment="1">
      <alignment horizontal="center" vertical="center"/>
    </xf>
    <xf numFmtId="44" fontId="1" fillId="0" borderId="76" xfId="0" applyNumberFormat="1" applyFont="1" applyBorder="1" applyAlignment="1">
      <alignment horizontal="center"/>
    </xf>
    <xf numFmtId="44" fontId="1" fillId="0" borderId="76" xfId="0" applyNumberFormat="1" applyFont="1" applyBorder="1"/>
    <xf numFmtId="44" fontId="1" fillId="0" borderId="77" xfId="0" applyNumberFormat="1" applyFont="1" applyBorder="1"/>
    <xf numFmtId="165" fontId="1" fillId="4" borderId="0" xfId="0" applyNumberFormat="1" applyFont="1" applyFill="1" applyAlignment="1">
      <alignment horizontal="center"/>
    </xf>
    <xf numFmtId="44" fontId="8" fillId="0" borderId="0" xfId="0" quotePrefix="1" applyNumberFormat="1" applyFont="1"/>
    <xf numFmtId="0" fontId="2" fillId="0" borderId="0" xfId="0" applyFont="1"/>
    <xf numFmtId="0" fontId="9" fillId="0" borderId="0" xfId="0" applyFont="1" applyAlignment="1">
      <alignment horizontal="center"/>
    </xf>
    <xf numFmtId="44" fontId="0" fillId="2" borderId="38" xfId="0" applyNumberFormat="1" applyFill="1" applyBorder="1" applyAlignment="1">
      <alignment horizontal="center"/>
    </xf>
    <xf numFmtId="44" fontId="0" fillId="2" borderId="38" xfId="0" quotePrefix="1" applyNumberFormat="1" applyFill="1" applyBorder="1" applyAlignment="1">
      <alignment horizontal="center"/>
    </xf>
    <xf numFmtId="44" fontId="0" fillId="0" borderId="38" xfId="0" applyNumberFormat="1" applyBorder="1" applyAlignment="1">
      <alignment horizontal="center"/>
    </xf>
    <xf numFmtId="49" fontId="0" fillId="2" borderId="5" xfId="0" applyNumberFormat="1" applyFill="1" applyBorder="1" applyAlignment="1">
      <alignment horizontal="center"/>
    </xf>
    <xf numFmtId="49" fontId="0" fillId="2" borderId="4" xfId="0" quotePrefix="1" applyNumberFormat="1" applyFill="1" applyBorder="1" applyAlignment="1">
      <alignment horizontal="center"/>
    </xf>
    <xf numFmtId="49" fontId="1" fillId="0" borderId="0" xfId="0" applyNumberFormat="1" applyFont="1"/>
    <xf numFmtId="0" fontId="0" fillId="0" borderId="71" xfId="0" applyBorder="1" applyAlignment="1">
      <alignment horizontal="center"/>
    </xf>
    <xf numFmtId="0" fontId="0" fillId="0" borderId="73" xfId="0" applyBorder="1" applyAlignment="1">
      <alignment horizontal="center"/>
    </xf>
    <xf numFmtId="44" fontId="0" fillId="0" borderId="73" xfId="0" applyNumberFormat="1" applyBorder="1" applyAlignment="1">
      <alignment horizontal="center"/>
    </xf>
    <xf numFmtId="44" fontId="0" fillId="0" borderId="72" xfId="0" applyNumberFormat="1" applyBorder="1" applyAlignment="1">
      <alignment horizontal="center"/>
    </xf>
    <xf numFmtId="0" fontId="0" fillId="0" borderId="62" xfId="0" applyBorder="1" applyAlignment="1">
      <alignment horizontal="center"/>
    </xf>
    <xf numFmtId="44" fontId="0" fillId="0" borderId="63" xfId="0" applyNumberFormat="1" applyBorder="1" applyAlignment="1">
      <alignment horizontal="center"/>
    </xf>
    <xf numFmtId="0" fontId="0" fillId="0" borderId="78" xfId="0" applyBorder="1" applyAlignment="1">
      <alignment horizontal="center"/>
    </xf>
    <xf numFmtId="44" fontId="0" fillId="0" borderId="67" xfId="0" applyNumberFormat="1" applyBorder="1" applyAlignment="1">
      <alignment horizontal="center"/>
    </xf>
    <xf numFmtId="44" fontId="0" fillId="0" borderId="68" xfId="0" applyNumberFormat="1" applyBorder="1" applyAlignment="1">
      <alignment horizontal="center"/>
    </xf>
    <xf numFmtId="44" fontId="1" fillId="0" borderId="81" xfId="0" applyNumberFormat="1" applyFont="1" applyBorder="1" applyAlignment="1">
      <alignment horizontal="center"/>
    </xf>
    <xf numFmtId="0" fontId="9" fillId="2" borderId="0" xfId="0" applyFont="1" applyFill="1" applyAlignment="1">
      <alignment horizontal="center"/>
    </xf>
    <xf numFmtId="44" fontId="0" fillId="2" borderId="4" xfId="0" applyNumberFormat="1" applyFill="1" applyBorder="1" applyAlignment="1">
      <alignment horizontal="center"/>
    </xf>
    <xf numFmtId="44" fontId="0" fillId="2" borderId="20" xfId="0" applyNumberFormat="1" applyFill="1" applyBorder="1" applyAlignment="1">
      <alignment horizontal="center"/>
    </xf>
    <xf numFmtId="44" fontId="0" fillId="2" borderId="82" xfId="0" applyNumberFormat="1" applyFill="1" applyBorder="1" applyAlignment="1">
      <alignment horizontal="center"/>
    </xf>
    <xf numFmtId="167" fontId="0" fillId="0" borderId="0" xfId="0" applyNumberFormat="1"/>
    <xf numFmtId="0" fontId="0" fillId="0" borderId="4" xfId="0" applyBorder="1"/>
    <xf numFmtId="0" fontId="0" fillId="0" borderId="20" xfId="0" applyBorder="1"/>
    <xf numFmtId="0" fontId="0" fillId="0" borderId="21" xfId="0" applyBorder="1"/>
    <xf numFmtId="0" fontId="1" fillId="0" borderId="84" xfId="0" applyFont="1" applyBorder="1" applyAlignment="1">
      <alignment horizontal="center"/>
    </xf>
    <xf numFmtId="0" fontId="1" fillId="0" borderId="82" xfId="0" applyFont="1" applyBorder="1" applyAlignment="1">
      <alignment horizontal="center"/>
    </xf>
    <xf numFmtId="0" fontId="1" fillId="0" borderId="85" xfId="0" applyFont="1" applyBorder="1" applyAlignment="1">
      <alignment horizontal="center"/>
    </xf>
    <xf numFmtId="0" fontId="1" fillId="0" borderId="6" xfId="0" applyFont="1" applyBorder="1"/>
    <xf numFmtId="0" fontId="0" fillId="4" borderId="82" xfId="0" applyFill="1" applyBorder="1"/>
    <xf numFmtId="167" fontId="0" fillId="4" borderId="82" xfId="0" applyNumberFormat="1" applyFill="1" applyBorder="1"/>
    <xf numFmtId="167" fontId="0" fillId="0" borderId="40" xfId="0" applyNumberFormat="1" applyBorder="1"/>
    <xf numFmtId="167" fontId="1" fillId="0" borderId="0" xfId="0" applyNumberFormat="1" applyFont="1"/>
    <xf numFmtId="0" fontId="4" fillId="0" borderId="0" xfId="0" applyFont="1"/>
    <xf numFmtId="167" fontId="3" fillId="0" borderId="40" xfId="0" applyNumberFormat="1" applyFont="1" applyBorder="1"/>
    <xf numFmtId="0" fontId="1" fillId="0" borderId="82" xfId="0" applyFont="1" applyBorder="1" applyAlignment="1">
      <alignment vertical="center"/>
    </xf>
    <xf numFmtId="0" fontId="10" fillId="0" borderId="0" xfId="0" applyFont="1" applyAlignment="1">
      <alignment horizontal="center"/>
    </xf>
    <xf numFmtId="0" fontId="11" fillId="3" borderId="0" xfId="0" applyFont="1" applyFill="1"/>
    <xf numFmtId="6" fontId="11" fillId="3" borderId="0" xfId="0" applyNumberFormat="1" applyFont="1" applyFill="1"/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166" fontId="1" fillId="0" borderId="7" xfId="0" applyNumberFormat="1" applyFont="1" applyBorder="1" applyAlignment="1">
      <alignment horizontal="center"/>
    </xf>
    <xf numFmtId="0" fontId="0" fillId="0" borderId="86" xfId="0" applyBorder="1"/>
    <xf numFmtId="0" fontId="0" fillId="0" borderId="87" xfId="0" applyBorder="1"/>
    <xf numFmtId="16" fontId="1" fillId="0" borderId="15" xfId="0" applyNumberFormat="1" applyFont="1" applyBorder="1" applyAlignment="1">
      <alignment horizontal="center"/>
    </xf>
    <xf numFmtId="0" fontId="0" fillId="0" borderId="23" xfId="0" applyBorder="1"/>
    <xf numFmtId="0" fontId="0" fillId="0" borderId="17" xfId="0" applyBorder="1" applyAlignment="1">
      <alignment horizontal="center"/>
    </xf>
    <xf numFmtId="0" fontId="0" fillId="0" borderId="17" xfId="0" applyBorder="1"/>
    <xf numFmtId="0" fontId="5" fillId="0" borderId="17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0" fillId="0" borderId="20" xfId="0" applyBorder="1"/>
    <xf numFmtId="0" fontId="0" fillId="0" borderId="21" xfId="0" applyBorder="1"/>
    <xf numFmtId="0" fontId="1" fillId="0" borderId="39" xfId="0" applyFont="1" applyBorder="1" applyAlignment="1">
      <alignment horizontal="center"/>
    </xf>
    <xf numFmtId="0" fontId="0" fillId="0" borderId="26" xfId="0" applyBorder="1"/>
    <xf numFmtId="44" fontId="5" fillId="0" borderId="17" xfId="0" applyNumberFormat="1" applyFont="1" applyBorder="1" applyAlignment="1">
      <alignment horizontal="left"/>
    </xf>
    <xf numFmtId="0" fontId="0" fillId="0" borderId="21" xfId="0" applyBorder="1" applyAlignment="1">
      <alignment horizontal="center"/>
    </xf>
    <xf numFmtId="0" fontId="6" fillId="0" borderId="24" xfId="0" applyFont="1" applyBorder="1" applyAlignment="1">
      <alignment horizontal="center"/>
    </xf>
    <xf numFmtId="166" fontId="1" fillId="0" borderId="83" xfId="0" applyNumberFormat="1" applyFont="1" applyBorder="1" applyAlignment="1">
      <alignment horizontal="center"/>
    </xf>
    <xf numFmtId="0" fontId="0" fillId="0" borderId="2" xfId="0" applyBorder="1"/>
    <xf numFmtId="0" fontId="0" fillId="0" borderId="88" xfId="0" applyBorder="1"/>
    <xf numFmtId="2" fontId="1" fillId="0" borderId="7" xfId="0" applyNumberFormat="1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0" fillId="0" borderId="89" xfId="0" applyBorder="1"/>
    <xf numFmtId="0" fontId="1" fillId="0" borderId="79" xfId="0" applyFont="1" applyBorder="1" applyAlignment="1">
      <alignment horizontal="center"/>
    </xf>
    <xf numFmtId="0" fontId="0" fillId="0" borderId="80" xfId="0" applyBorder="1"/>
    <xf numFmtId="0" fontId="1" fillId="0" borderId="4" xfId="0" applyFont="1" applyBorder="1" applyAlignment="1">
      <alignment horizontal="center" vertical="center"/>
    </xf>
    <xf numFmtId="0" fontId="0" fillId="0" borderId="82" xfId="0" applyBorder="1"/>
    <xf numFmtId="0" fontId="0" fillId="0" borderId="5" xfId="0" applyBorder="1"/>
  </cellXfs>
  <cellStyles count="1">
    <cellStyle name="Normal" xfId="0" builtinId="0"/>
  </cellStyles>
  <dxfs count="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3"/>
  <sheetViews>
    <sheetView showGridLines="0" workbookViewId="0">
      <selection activeCell="N26" sqref="N26"/>
    </sheetView>
  </sheetViews>
  <sheetFormatPr baseColWidth="10" defaultColWidth="8.83203125" defaultRowHeight="15" x14ac:dyDescent="0.2"/>
  <cols>
    <col min="1" max="1" width="5.5" style="1" customWidth="1"/>
    <col min="2" max="2" width="12.1640625" style="26" customWidth="1"/>
    <col min="3" max="3" width="18.5" style="1" bestFit="1" customWidth="1"/>
    <col min="4" max="7" width="12.1640625" customWidth="1"/>
    <col min="8" max="8" width="12.1640625" style="22" customWidth="1"/>
    <col min="9" max="13" width="12.1640625" customWidth="1"/>
    <col min="14" max="14" width="13.1640625" customWidth="1"/>
    <col min="15" max="15" width="21.1640625" bestFit="1" customWidth="1"/>
    <col min="16" max="17" width="6" style="1" customWidth="1"/>
    <col min="18" max="18" width="12.5" bestFit="1" customWidth="1"/>
    <col min="19" max="19" width="10.83203125" customWidth="1"/>
  </cols>
  <sheetData>
    <row r="1" spans="1:22" x14ac:dyDescent="0.2">
      <c r="A1" s="4" t="s">
        <v>0</v>
      </c>
      <c r="B1" s="28" t="s">
        <v>101</v>
      </c>
      <c r="C1" s="208"/>
      <c r="D1" s="4" t="s">
        <v>1</v>
      </c>
      <c r="E1" s="6" t="s">
        <v>2</v>
      </c>
    </row>
    <row r="3" spans="1:22" x14ac:dyDescent="0.2">
      <c r="A3" s="4"/>
      <c r="B3" s="23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101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28" t="s">
        <v>16</v>
      </c>
      <c r="P3" s="27"/>
      <c r="Q3" s="27"/>
    </row>
    <row r="4" spans="1:22" x14ac:dyDescent="0.2">
      <c r="A4" s="10"/>
      <c r="B4" s="24" t="s">
        <v>17</v>
      </c>
      <c r="C4" s="10" t="s">
        <v>18</v>
      </c>
      <c r="D4" s="11">
        <v>390</v>
      </c>
      <c r="E4" s="11">
        <f t="shared" ref="E4:E47" si="0">IF(AND(VALUE(B4)&lt;100, D4&gt;0),D4*0.5,D4*0.25)</f>
        <v>195</v>
      </c>
      <c r="F4" s="11">
        <f t="shared" ref="F4:F47" si="1">IF(P4="C",Q4,IF(AND(VALUE(B4)&lt;100, D4&gt;0),12,IF(D4&gt;0,2,0)))</f>
        <v>12</v>
      </c>
      <c r="G4" s="11">
        <v>0</v>
      </c>
      <c r="H4" s="11">
        <v>14</v>
      </c>
      <c r="I4" s="31">
        <v>235.5</v>
      </c>
      <c r="J4" s="31">
        <v>0</v>
      </c>
      <c r="K4" s="31">
        <v>0</v>
      </c>
      <c r="L4" s="29">
        <f t="shared" ref="L4:L47" si="2">(E4+F4+G4+H4)-I4-J4-K4</f>
        <v>-14.5</v>
      </c>
      <c r="M4" s="29">
        <v>-14</v>
      </c>
      <c r="N4" s="169">
        <v>-14</v>
      </c>
      <c r="O4" s="172" t="s">
        <v>102</v>
      </c>
      <c r="P4" s="27"/>
      <c r="Q4" s="27"/>
      <c r="R4" s="15" t="s">
        <v>19</v>
      </c>
      <c r="S4" s="12">
        <f>D48</f>
        <v>7479</v>
      </c>
      <c r="U4" s="36"/>
      <c r="V4" s="1"/>
    </row>
    <row r="5" spans="1:22" x14ac:dyDescent="0.2">
      <c r="A5" s="9"/>
      <c r="B5" s="25" t="s">
        <v>20</v>
      </c>
      <c r="C5" s="10" t="s">
        <v>21</v>
      </c>
      <c r="D5" s="7">
        <v>396</v>
      </c>
      <c r="E5" s="11">
        <f t="shared" si="0"/>
        <v>198</v>
      </c>
      <c r="F5" s="11">
        <f t="shared" si="1"/>
        <v>12</v>
      </c>
      <c r="G5" s="11">
        <v>0</v>
      </c>
      <c r="H5" s="11">
        <v>10.5</v>
      </c>
      <c r="I5" s="32">
        <v>328.5</v>
      </c>
      <c r="J5" s="32">
        <v>28.75</v>
      </c>
      <c r="K5" s="32">
        <v>0</v>
      </c>
      <c r="L5" s="29">
        <f t="shared" si="2"/>
        <v>-136.75</v>
      </c>
      <c r="M5" s="29">
        <v>-137</v>
      </c>
      <c r="N5" s="169">
        <v>-56</v>
      </c>
      <c r="O5" s="91" t="s">
        <v>103</v>
      </c>
      <c r="P5" s="27"/>
      <c r="Q5" s="27"/>
      <c r="R5" s="16" t="s">
        <v>22</v>
      </c>
      <c r="S5" s="13">
        <f>E48</f>
        <v>3382.75</v>
      </c>
      <c r="U5" s="1"/>
      <c r="V5" s="1"/>
    </row>
    <row r="6" spans="1:22" x14ac:dyDescent="0.2">
      <c r="A6" s="9"/>
      <c r="B6" s="25" t="s">
        <v>23</v>
      </c>
      <c r="C6" s="10" t="s">
        <v>24</v>
      </c>
      <c r="D6" s="7">
        <v>259</v>
      </c>
      <c r="E6" s="11">
        <f t="shared" si="0"/>
        <v>64.75</v>
      </c>
      <c r="F6" s="11">
        <f t="shared" si="1"/>
        <v>2</v>
      </c>
      <c r="G6" s="11">
        <v>2.75</v>
      </c>
      <c r="H6" s="11">
        <v>4.25</v>
      </c>
      <c r="I6" s="32">
        <v>43</v>
      </c>
      <c r="J6" s="32">
        <v>8.0500000000000007</v>
      </c>
      <c r="K6" s="32">
        <v>0</v>
      </c>
      <c r="L6" s="29">
        <f t="shared" si="2"/>
        <v>22.7</v>
      </c>
      <c r="M6" s="29">
        <v>23</v>
      </c>
      <c r="N6" s="169"/>
      <c r="O6" s="91"/>
      <c r="P6" s="27"/>
      <c r="Q6" s="27">
        <v>6</v>
      </c>
      <c r="R6" s="16" t="s">
        <v>7</v>
      </c>
      <c r="S6" s="13">
        <f>F48</f>
        <v>240</v>
      </c>
      <c r="U6" s="22"/>
    </row>
    <row r="7" spans="1:22" x14ac:dyDescent="0.2">
      <c r="A7" s="9"/>
      <c r="B7" s="25" t="s">
        <v>25</v>
      </c>
      <c r="C7" s="10" t="s">
        <v>26</v>
      </c>
      <c r="D7" s="7">
        <v>273</v>
      </c>
      <c r="E7" s="11">
        <f t="shared" si="0"/>
        <v>68.25</v>
      </c>
      <c r="F7" s="11">
        <f t="shared" si="1"/>
        <v>2</v>
      </c>
      <c r="G7" s="11">
        <v>2.75</v>
      </c>
      <c r="H7" s="11">
        <v>4.25</v>
      </c>
      <c r="I7" s="32">
        <v>140.46</v>
      </c>
      <c r="J7" s="32">
        <v>49.45</v>
      </c>
      <c r="K7" s="32">
        <v>0</v>
      </c>
      <c r="L7" s="29">
        <f t="shared" si="2"/>
        <v>-112.66000000000001</v>
      </c>
      <c r="M7" s="29">
        <v>-113</v>
      </c>
      <c r="N7" s="169"/>
      <c r="O7" s="91"/>
      <c r="P7" s="27"/>
      <c r="Q7" s="27">
        <v>6</v>
      </c>
      <c r="R7" s="16" t="s">
        <v>8</v>
      </c>
      <c r="S7" s="13">
        <f>G48</f>
        <v>46.75</v>
      </c>
      <c r="U7" s="22"/>
    </row>
    <row r="8" spans="1:22" x14ac:dyDescent="0.2">
      <c r="A8" s="9"/>
      <c r="B8" s="25" t="s">
        <v>27</v>
      </c>
      <c r="C8" s="10" t="s">
        <v>28</v>
      </c>
      <c r="D8" s="7">
        <v>264</v>
      </c>
      <c r="E8" s="11">
        <f t="shared" si="0"/>
        <v>132</v>
      </c>
      <c r="F8" s="11">
        <f t="shared" si="1"/>
        <v>12</v>
      </c>
      <c r="G8" s="11">
        <v>0</v>
      </c>
      <c r="H8" s="11">
        <v>10.5</v>
      </c>
      <c r="I8" s="32">
        <v>109</v>
      </c>
      <c r="J8" s="32">
        <v>40.25</v>
      </c>
      <c r="K8" s="32">
        <v>0</v>
      </c>
      <c r="L8" s="29">
        <f t="shared" si="2"/>
        <v>5.25</v>
      </c>
      <c r="M8" s="29">
        <v>5</v>
      </c>
      <c r="N8" s="169"/>
      <c r="O8" s="91"/>
      <c r="P8" s="27"/>
      <c r="Q8" s="27">
        <v>6</v>
      </c>
      <c r="R8" s="16" t="s">
        <v>9</v>
      </c>
      <c r="S8" s="13">
        <f>H48</f>
        <v>168.75</v>
      </c>
      <c r="U8" s="22"/>
    </row>
    <row r="9" spans="1:22" x14ac:dyDescent="0.2">
      <c r="A9" s="9"/>
      <c r="B9" s="25" t="s">
        <v>29</v>
      </c>
      <c r="C9" s="10" t="s">
        <v>30</v>
      </c>
      <c r="D9" s="7"/>
      <c r="E9" s="11">
        <f t="shared" si="0"/>
        <v>0</v>
      </c>
      <c r="F9" s="11">
        <f t="shared" si="1"/>
        <v>0</v>
      </c>
      <c r="G9" s="11"/>
      <c r="H9" s="11"/>
      <c r="I9" s="32"/>
      <c r="J9" s="32"/>
      <c r="K9" s="32"/>
      <c r="L9" s="29">
        <f t="shared" si="2"/>
        <v>0</v>
      </c>
      <c r="M9" s="29"/>
      <c r="N9" s="169"/>
      <c r="O9" s="91"/>
      <c r="P9" s="27"/>
      <c r="Q9" s="27">
        <v>6</v>
      </c>
      <c r="R9" s="16" t="s">
        <v>10</v>
      </c>
      <c r="S9" s="13">
        <f>I48</f>
        <v>3395.5800000000004</v>
      </c>
      <c r="U9" s="22"/>
    </row>
    <row r="10" spans="1:22" x14ac:dyDescent="0.2">
      <c r="A10" s="9"/>
      <c r="B10" s="25" t="s">
        <v>104</v>
      </c>
      <c r="C10" s="10" t="s">
        <v>32</v>
      </c>
      <c r="D10" s="7"/>
      <c r="E10" s="11">
        <f t="shared" si="0"/>
        <v>0</v>
      </c>
      <c r="F10" s="11">
        <f t="shared" si="1"/>
        <v>0</v>
      </c>
      <c r="G10" s="11"/>
      <c r="H10" s="11"/>
      <c r="I10" s="32"/>
      <c r="J10" s="32"/>
      <c r="K10" s="32"/>
      <c r="L10" s="29">
        <f t="shared" si="2"/>
        <v>0</v>
      </c>
      <c r="M10" s="29"/>
      <c r="N10" s="169"/>
      <c r="O10" s="91"/>
      <c r="P10" s="27"/>
      <c r="Q10" s="27">
        <v>0</v>
      </c>
      <c r="R10" s="16" t="s">
        <v>11</v>
      </c>
      <c r="S10" s="13">
        <f>J48</f>
        <v>1138.18</v>
      </c>
      <c r="U10" s="22"/>
    </row>
    <row r="11" spans="1:22" x14ac:dyDescent="0.2">
      <c r="A11" s="9"/>
      <c r="B11" s="25" t="s">
        <v>33</v>
      </c>
      <c r="C11" s="10" t="s">
        <v>34</v>
      </c>
      <c r="D11" s="7">
        <v>166</v>
      </c>
      <c r="E11" s="11">
        <f t="shared" si="0"/>
        <v>41.5</v>
      </c>
      <c r="F11" s="11">
        <f t="shared" si="1"/>
        <v>2</v>
      </c>
      <c r="G11" s="11">
        <v>0</v>
      </c>
      <c r="H11" s="11">
        <v>0</v>
      </c>
      <c r="I11" s="32">
        <v>8.0500000000000007</v>
      </c>
      <c r="J11" s="32">
        <v>0</v>
      </c>
      <c r="K11" s="32">
        <v>0</v>
      </c>
      <c r="L11" s="29">
        <f t="shared" si="2"/>
        <v>35.450000000000003</v>
      </c>
      <c r="M11" s="29">
        <v>35</v>
      </c>
      <c r="N11" s="169"/>
      <c r="O11" s="91"/>
      <c r="P11" s="27"/>
      <c r="Q11" s="27"/>
      <c r="R11" s="16" t="s">
        <v>12</v>
      </c>
      <c r="S11" s="13">
        <f>K48</f>
        <v>0</v>
      </c>
      <c r="U11" s="22"/>
    </row>
    <row r="12" spans="1:22" x14ac:dyDescent="0.2">
      <c r="A12" s="9"/>
      <c r="B12" s="25" t="s">
        <v>35</v>
      </c>
      <c r="C12" s="10" t="s">
        <v>36</v>
      </c>
      <c r="D12" s="7">
        <v>230</v>
      </c>
      <c r="E12" s="11">
        <f t="shared" si="0"/>
        <v>57.5</v>
      </c>
      <c r="F12" s="11">
        <f t="shared" si="1"/>
        <v>2</v>
      </c>
      <c r="G12" s="11">
        <v>0</v>
      </c>
      <c r="H12" s="11">
        <v>10.5</v>
      </c>
      <c r="I12" s="32">
        <v>251.5</v>
      </c>
      <c r="J12" s="32">
        <v>0</v>
      </c>
      <c r="K12" s="32">
        <v>0</v>
      </c>
      <c r="L12" s="29">
        <f t="shared" si="2"/>
        <v>-181.5</v>
      </c>
      <c r="M12" s="29">
        <v>-181</v>
      </c>
      <c r="N12" s="169"/>
      <c r="O12" s="91"/>
      <c r="P12" s="27"/>
      <c r="Q12" s="27">
        <v>6</v>
      </c>
      <c r="R12" s="17" t="s">
        <v>37</v>
      </c>
      <c r="S12" s="14">
        <f>N48</f>
        <v>-83</v>
      </c>
      <c r="U12" s="22"/>
    </row>
    <row r="13" spans="1:22" x14ac:dyDescent="0.2">
      <c r="A13" s="9"/>
      <c r="B13" s="25" t="s">
        <v>105</v>
      </c>
      <c r="C13" s="10" t="s">
        <v>106</v>
      </c>
      <c r="D13" s="7"/>
      <c r="E13" s="11">
        <f t="shared" si="0"/>
        <v>0</v>
      </c>
      <c r="F13" s="11">
        <f t="shared" si="1"/>
        <v>0</v>
      </c>
      <c r="G13" s="11"/>
      <c r="H13" s="11"/>
      <c r="I13" s="32"/>
      <c r="J13" s="32"/>
      <c r="K13" s="32"/>
      <c r="L13" s="29">
        <f t="shared" si="2"/>
        <v>0</v>
      </c>
      <c r="M13" s="29"/>
      <c r="N13" s="169"/>
      <c r="O13" s="91"/>
      <c r="P13" s="27"/>
      <c r="Q13" s="27">
        <v>6</v>
      </c>
      <c r="R13" s="18"/>
      <c r="S13" s="30">
        <f>S5+S6+S7-S9-S10-S11-S12</f>
        <v>-781.26000000000045</v>
      </c>
      <c r="U13" s="22"/>
    </row>
    <row r="14" spans="1:22" x14ac:dyDescent="0.2">
      <c r="A14" s="9"/>
      <c r="B14" s="25" t="s">
        <v>40</v>
      </c>
      <c r="C14" s="10" t="s">
        <v>41</v>
      </c>
      <c r="D14" s="7">
        <v>256</v>
      </c>
      <c r="E14" s="11">
        <f t="shared" si="0"/>
        <v>128</v>
      </c>
      <c r="F14" s="11">
        <f t="shared" si="1"/>
        <v>12</v>
      </c>
      <c r="G14" s="11">
        <v>0</v>
      </c>
      <c r="H14" s="11">
        <v>7</v>
      </c>
      <c r="I14" s="32">
        <v>85.5</v>
      </c>
      <c r="J14" s="32">
        <v>139.12</v>
      </c>
      <c r="K14" s="32">
        <v>0</v>
      </c>
      <c r="L14" s="29">
        <f t="shared" si="2"/>
        <v>-77.62</v>
      </c>
      <c r="M14" s="29">
        <v>-78</v>
      </c>
      <c r="N14" s="169"/>
      <c r="O14" s="91"/>
      <c r="P14" s="27"/>
      <c r="Q14" s="27">
        <v>6</v>
      </c>
      <c r="R14" s="19" t="s">
        <v>42</v>
      </c>
      <c r="S14" s="20">
        <f>M48</f>
        <v>-695</v>
      </c>
      <c r="U14" s="22"/>
    </row>
    <row r="15" spans="1:22" x14ac:dyDescent="0.2">
      <c r="A15" s="9"/>
      <c r="B15" s="25" t="s">
        <v>43</v>
      </c>
      <c r="C15" s="10" t="s">
        <v>44</v>
      </c>
      <c r="D15" s="7">
        <v>227</v>
      </c>
      <c r="E15" s="11">
        <f t="shared" si="0"/>
        <v>113.5</v>
      </c>
      <c r="F15" s="11">
        <f t="shared" si="1"/>
        <v>12</v>
      </c>
      <c r="G15" s="11">
        <v>0</v>
      </c>
      <c r="H15" s="11">
        <v>0</v>
      </c>
      <c r="I15" s="32">
        <v>30</v>
      </c>
      <c r="J15" s="32">
        <v>88.55</v>
      </c>
      <c r="K15" s="32">
        <v>0</v>
      </c>
      <c r="L15" s="29">
        <f t="shared" si="2"/>
        <v>6.9500000000000028</v>
      </c>
      <c r="M15" s="29">
        <v>7</v>
      </c>
      <c r="N15" s="169"/>
      <c r="O15" s="91"/>
      <c r="P15" s="27"/>
      <c r="Q15" s="27"/>
      <c r="U15" s="22"/>
    </row>
    <row r="16" spans="1:22" x14ac:dyDescent="0.2">
      <c r="A16" s="9"/>
      <c r="B16" s="25" t="s">
        <v>45</v>
      </c>
      <c r="C16" s="10" t="s">
        <v>46</v>
      </c>
      <c r="D16" s="7">
        <v>297</v>
      </c>
      <c r="E16" s="11">
        <f t="shared" si="0"/>
        <v>148.5</v>
      </c>
      <c r="F16" s="11">
        <f t="shared" si="1"/>
        <v>12</v>
      </c>
      <c r="G16" s="11">
        <v>11</v>
      </c>
      <c r="H16" s="11">
        <v>3</v>
      </c>
      <c r="I16" s="32">
        <v>82.96</v>
      </c>
      <c r="J16" s="32">
        <v>0</v>
      </c>
      <c r="K16" s="32">
        <v>0</v>
      </c>
      <c r="L16" s="29">
        <f t="shared" si="2"/>
        <v>91.54</v>
      </c>
      <c r="M16" s="29">
        <v>92</v>
      </c>
      <c r="N16" s="169"/>
      <c r="O16" s="91"/>
      <c r="P16" s="27"/>
      <c r="Q16" s="27">
        <v>6</v>
      </c>
      <c r="U16" s="22"/>
    </row>
    <row r="17" spans="1:21" x14ac:dyDescent="0.2">
      <c r="A17" s="9"/>
      <c r="B17" s="25" t="s">
        <v>47</v>
      </c>
      <c r="C17" s="10" t="s">
        <v>48</v>
      </c>
      <c r="D17" s="7"/>
      <c r="E17" s="11">
        <f t="shared" si="0"/>
        <v>0</v>
      </c>
      <c r="F17" s="11">
        <f t="shared" si="1"/>
        <v>0</v>
      </c>
      <c r="G17" s="11"/>
      <c r="H17" s="11"/>
      <c r="I17" s="32"/>
      <c r="J17" s="32"/>
      <c r="K17" s="32"/>
      <c r="L17" s="29">
        <f t="shared" si="2"/>
        <v>0</v>
      </c>
      <c r="M17" s="29"/>
      <c r="N17" s="169"/>
      <c r="O17" s="91"/>
      <c r="P17" s="27"/>
      <c r="Q17" s="27">
        <v>6</v>
      </c>
      <c r="R17" s="34"/>
      <c r="S17" s="34"/>
      <c r="U17" s="22"/>
    </row>
    <row r="18" spans="1:21" x14ac:dyDescent="0.2">
      <c r="A18" s="9"/>
      <c r="B18" s="25" t="s">
        <v>49</v>
      </c>
      <c r="C18" s="10" t="s">
        <v>50</v>
      </c>
      <c r="D18" s="7"/>
      <c r="E18" s="11">
        <f t="shared" si="0"/>
        <v>0</v>
      </c>
      <c r="F18" s="11">
        <f t="shared" si="1"/>
        <v>0</v>
      </c>
      <c r="G18" s="11"/>
      <c r="H18" s="11"/>
      <c r="I18" s="32"/>
      <c r="J18" s="32"/>
      <c r="K18" s="32"/>
      <c r="L18" s="29">
        <f t="shared" si="2"/>
        <v>0</v>
      </c>
      <c r="M18" s="29"/>
      <c r="N18" s="170"/>
      <c r="O18" s="91"/>
      <c r="P18" s="27"/>
      <c r="Q18" s="27">
        <v>0</v>
      </c>
      <c r="R18" s="15" t="s">
        <v>51</v>
      </c>
      <c r="S18" s="95">
        <f t="array" ref="S18">SUMPRODUCT((VALUE(B4:B47)&lt;100)*(D4:D47&gt;0))</f>
        <v>19</v>
      </c>
      <c r="U18" s="22"/>
    </row>
    <row r="19" spans="1:21" x14ac:dyDescent="0.2">
      <c r="A19" s="9"/>
      <c r="B19" s="25" t="s">
        <v>27</v>
      </c>
      <c r="C19" s="10" t="s">
        <v>53</v>
      </c>
      <c r="D19" s="7"/>
      <c r="E19" s="11">
        <f t="shared" si="0"/>
        <v>0</v>
      </c>
      <c r="F19" s="11">
        <f t="shared" si="1"/>
        <v>0</v>
      </c>
      <c r="G19" s="11"/>
      <c r="H19" s="11"/>
      <c r="I19" s="32"/>
      <c r="J19" s="32"/>
      <c r="K19" s="32"/>
      <c r="L19" s="29">
        <f t="shared" si="2"/>
        <v>0</v>
      </c>
      <c r="M19" s="29"/>
      <c r="N19" s="170"/>
      <c r="O19" s="173"/>
      <c r="P19" s="27"/>
      <c r="Q19" s="27">
        <v>0</v>
      </c>
      <c r="R19" s="16" t="s">
        <v>54</v>
      </c>
      <c r="S19" s="96">
        <f t="array" ref="S19">SUMPRODUCT((VALUE(B4:B47)&gt;100)*(D4:D47&gt;0))</f>
        <v>6</v>
      </c>
      <c r="U19" s="22"/>
    </row>
    <row r="20" spans="1:21" x14ac:dyDescent="0.2">
      <c r="A20" s="9"/>
      <c r="B20" s="25" t="s">
        <v>55</v>
      </c>
      <c r="C20" s="10" t="s">
        <v>56</v>
      </c>
      <c r="D20" s="7">
        <v>239</v>
      </c>
      <c r="E20" s="11">
        <f t="shared" si="0"/>
        <v>119.5</v>
      </c>
      <c r="F20" s="11">
        <f t="shared" si="1"/>
        <v>12</v>
      </c>
      <c r="G20" s="11">
        <v>2.75</v>
      </c>
      <c r="H20" s="11">
        <v>7.75</v>
      </c>
      <c r="I20" s="32">
        <v>8</v>
      </c>
      <c r="J20" s="32">
        <v>110.46</v>
      </c>
      <c r="K20" s="32">
        <v>0</v>
      </c>
      <c r="L20" s="29">
        <f t="shared" si="2"/>
        <v>23.540000000000006</v>
      </c>
      <c r="M20" s="29">
        <v>24</v>
      </c>
      <c r="N20" s="169"/>
      <c r="O20" s="91"/>
      <c r="P20" s="27"/>
      <c r="Q20" s="27">
        <v>0</v>
      </c>
      <c r="R20" s="17" t="s">
        <v>57</v>
      </c>
      <c r="S20" s="97">
        <f>S18+S19</f>
        <v>25</v>
      </c>
      <c r="U20" s="22"/>
    </row>
    <row r="21" spans="1:21" x14ac:dyDescent="0.2">
      <c r="A21" s="9"/>
      <c r="B21" s="25" t="s">
        <v>27</v>
      </c>
      <c r="C21" s="10" t="s">
        <v>58</v>
      </c>
      <c r="D21" s="7"/>
      <c r="E21" s="11">
        <f t="shared" si="0"/>
        <v>0</v>
      </c>
      <c r="F21" s="11">
        <f t="shared" si="1"/>
        <v>0</v>
      </c>
      <c r="G21" s="11"/>
      <c r="H21" s="11"/>
      <c r="I21" s="32"/>
      <c r="J21" s="32"/>
      <c r="K21" s="32"/>
      <c r="L21" s="29">
        <f t="shared" si="2"/>
        <v>0</v>
      </c>
      <c r="M21" s="29"/>
      <c r="N21" s="169"/>
      <c r="O21" s="91"/>
      <c r="P21" s="27"/>
      <c r="Q21" s="27">
        <v>2</v>
      </c>
      <c r="U21" s="22"/>
    </row>
    <row r="22" spans="1:21" x14ac:dyDescent="0.2">
      <c r="A22" s="9"/>
      <c r="B22" s="25" t="s">
        <v>49</v>
      </c>
      <c r="C22" s="10" t="s">
        <v>60</v>
      </c>
      <c r="D22" s="7">
        <v>232</v>
      </c>
      <c r="E22" s="11">
        <f t="shared" si="0"/>
        <v>116</v>
      </c>
      <c r="F22" s="11">
        <f t="shared" si="1"/>
        <v>12</v>
      </c>
      <c r="G22" s="11">
        <v>0</v>
      </c>
      <c r="H22" s="11">
        <v>0</v>
      </c>
      <c r="I22" s="32">
        <v>48.1</v>
      </c>
      <c r="J22" s="32">
        <v>23.6</v>
      </c>
      <c r="K22" s="32">
        <v>0</v>
      </c>
      <c r="L22" s="29">
        <f t="shared" si="2"/>
        <v>56.300000000000004</v>
      </c>
      <c r="M22" s="29">
        <v>56</v>
      </c>
      <c r="N22" s="169"/>
      <c r="O22" s="91"/>
      <c r="P22" s="27"/>
      <c r="Q22" s="27">
        <v>6</v>
      </c>
      <c r="U22" s="22"/>
    </row>
    <row r="23" spans="1:21" x14ac:dyDescent="0.2">
      <c r="A23" s="9"/>
      <c r="B23" s="103" t="s">
        <v>61</v>
      </c>
      <c r="C23" s="10" t="s">
        <v>62</v>
      </c>
      <c r="D23" s="7">
        <v>263</v>
      </c>
      <c r="E23" s="11">
        <f t="shared" si="0"/>
        <v>65.75</v>
      </c>
      <c r="F23" s="11">
        <f t="shared" si="1"/>
        <v>2</v>
      </c>
      <c r="G23" s="11">
        <v>5.5</v>
      </c>
      <c r="H23" s="11">
        <v>1.5</v>
      </c>
      <c r="I23" s="32">
        <v>133.91999999999999</v>
      </c>
      <c r="J23" s="32">
        <v>83.6</v>
      </c>
      <c r="K23" s="32">
        <v>0</v>
      </c>
      <c r="L23" s="29">
        <f t="shared" si="2"/>
        <v>-142.76999999999998</v>
      </c>
      <c r="M23" s="29">
        <v>-143</v>
      </c>
      <c r="N23" s="169"/>
      <c r="O23" s="91"/>
      <c r="P23" s="27"/>
      <c r="Q23" s="27">
        <v>6</v>
      </c>
      <c r="U23" s="22"/>
    </row>
    <row r="24" spans="1:21" x14ac:dyDescent="0.2">
      <c r="A24" s="102"/>
      <c r="B24" s="25" t="s">
        <v>63</v>
      </c>
      <c r="C24" s="10" t="s">
        <v>64</v>
      </c>
      <c r="D24" s="7">
        <v>402</v>
      </c>
      <c r="E24" s="11">
        <f t="shared" si="0"/>
        <v>201</v>
      </c>
      <c r="F24" s="11">
        <f t="shared" si="1"/>
        <v>12</v>
      </c>
      <c r="G24" s="11">
        <v>2.75</v>
      </c>
      <c r="H24" s="11">
        <v>14.75</v>
      </c>
      <c r="I24" s="32">
        <v>151.13999999999999</v>
      </c>
      <c r="J24" s="32">
        <v>113.31</v>
      </c>
      <c r="K24" s="32">
        <v>0</v>
      </c>
      <c r="L24" s="29">
        <f t="shared" si="2"/>
        <v>-33.949999999999989</v>
      </c>
      <c r="M24" s="29">
        <v>-34</v>
      </c>
      <c r="N24" s="169"/>
      <c r="O24" s="91"/>
      <c r="P24" s="27"/>
      <c r="Q24" s="27"/>
      <c r="U24" s="22"/>
    </row>
    <row r="25" spans="1:21" x14ac:dyDescent="0.2">
      <c r="A25" s="9"/>
      <c r="B25" s="25" t="s">
        <v>65</v>
      </c>
      <c r="C25" s="10" t="s">
        <v>66</v>
      </c>
      <c r="D25" s="7"/>
      <c r="E25" s="11">
        <f t="shared" si="0"/>
        <v>0</v>
      </c>
      <c r="F25" s="11">
        <f t="shared" si="1"/>
        <v>0</v>
      </c>
      <c r="G25" s="11"/>
      <c r="H25" s="11"/>
      <c r="I25" s="32"/>
      <c r="J25" s="32"/>
      <c r="K25" s="32"/>
      <c r="L25" s="29">
        <f t="shared" si="2"/>
        <v>0</v>
      </c>
      <c r="M25" s="29"/>
      <c r="N25" s="169"/>
      <c r="O25" s="91"/>
      <c r="P25" s="27"/>
      <c r="Q25" s="27">
        <v>0</v>
      </c>
      <c r="U25" s="22"/>
    </row>
    <row r="26" spans="1:21" x14ac:dyDescent="0.2">
      <c r="A26" s="9"/>
      <c r="B26" s="25" t="s">
        <v>55</v>
      </c>
      <c r="C26" s="10" t="s">
        <v>107</v>
      </c>
      <c r="D26" s="7">
        <v>321</v>
      </c>
      <c r="E26" s="11">
        <f t="shared" si="0"/>
        <v>160.5</v>
      </c>
      <c r="F26" s="11">
        <f t="shared" si="1"/>
        <v>12</v>
      </c>
      <c r="G26" s="11">
        <v>2.75</v>
      </c>
      <c r="H26" s="11">
        <v>14</v>
      </c>
      <c r="I26" s="32">
        <v>67.209999999999994</v>
      </c>
      <c r="J26" s="32">
        <v>0</v>
      </c>
      <c r="K26" s="32">
        <v>0</v>
      </c>
      <c r="L26" s="29">
        <f t="shared" si="2"/>
        <v>122.04</v>
      </c>
      <c r="M26" s="29">
        <v>122</v>
      </c>
      <c r="N26" s="169">
        <v>0</v>
      </c>
      <c r="O26" s="91"/>
      <c r="P26" s="27"/>
      <c r="Q26" s="27"/>
      <c r="R26" s="212"/>
      <c r="S26" s="213"/>
      <c r="U26" s="22"/>
    </row>
    <row r="27" spans="1:21" x14ac:dyDescent="0.2">
      <c r="A27" s="9"/>
      <c r="B27" s="25" t="s">
        <v>55</v>
      </c>
      <c r="C27" s="10" t="s">
        <v>68</v>
      </c>
      <c r="D27" s="7">
        <v>519</v>
      </c>
      <c r="E27" s="11">
        <f t="shared" si="0"/>
        <v>259.5</v>
      </c>
      <c r="F27" s="11">
        <f t="shared" si="1"/>
        <v>12</v>
      </c>
      <c r="G27" s="11">
        <v>8.25</v>
      </c>
      <c r="H27" s="11">
        <v>12.75</v>
      </c>
      <c r="I27" s="32">
        <v>111.5</v>
      </c>
      <c r="J27" s="32">
        <v>96.6</v>
      </c>
      <c r="K27" s="32">
        <v>0</v>
      </c>
      <c r="L27" s="29">
        <f t="shared" si="2"/>
        <v>84.4</v>
      </c>
      <c r="M27" s="29">
        <v>84</v>
      </c>
      <c r="N27" s="169"/>
      <c r="O27" s="91"/>
      <c r="P27" s="27"/>
      <c r="Q27" s="27"/>
      <c r="S27" s="22"/>
      <c r="U27" s="22"/>
    </row>
    <row r="28" spans="1:21" x14ac:dyDescent="0.2">
      <c r="A28" s="9"/>
      <c r="B28" s="25" t="s">
        <v>69</v>
      </c>
      <c r="C28" s="10" t="s">
        <v>70</v>
      </c>
      <c r="D28" s="7"/>
      <c r="E28" s="11">
        <f t="shared" si="0"/>
        <v>0</v>
      </c>
      <c r="F28" s="11">
        <f t="shared" si="1"/>
        <v>0</v>
      </c>
      <c r="G28" s="11"/>
      <c r="H28" s="11"/>
      <c r="I28" s="32"/>
      <c r="J28" s="32"/>
      <c r="K28" s="32"/>
      <c r="L28" s="29">
        <f t="shared" si="2"/>
        <v>0</v>
      </c>
      <c r="M28" s="29"/>
      <c r="N28" s="169"/>
      <c r="O28" s="91"/>
      <c r="P28" s="27"/>
      <c r="Q28" s="27"/>
      <c r="S28" s="22"/>
      <c r="U28" s="22"/>
    </row>
    <row r="29" spans="1:21" x14ac:dyDescent="0.2">
      <c r="A29" s="9"/>
      <c r="B29" s="25" t="s">
        <v>71</v>
      </c>
      <c r="C29" s="10" t="s">
        <v>72</v>
      </c>
      <c r="D29" s="7">
        <v>236</v>
      </c>
      <c r="E29" s="11">
        <f t="shared" si="0"/>
        <v>59</v>
      </c>
      <c r="F29" s="11">
        <f t="shared" si="1"/>
        <v>2</v>
      </c>
      <c r="G29" s="11">
        <v>0</v>
      </c>
      <c r="H29" s="11">
        <v>10.5</v>
      </c>
      <c r="I29" s="32">
        <v>187.96</v>
      </c>
      <c r="J29" s="32">
        <v>0</v>
      </c>
      <c r="K29" s="32">
        <v>0</v>
      </c>
      <c r="L29" s="29">
        <f t="shared" si="2"/>
        <v>-116.46000000000001</v>
      </c>
      <c r="M29" s="29">
        <v>-116</v>
      </c>
      <c r="N29" s="169"/>
      <c r="O29" s="91"/>
      <c r="P29" s="27"/>
      <c r="Q29" s="27">
        <v>6</v>
      </c>
      <c r="S29" s="22"/>
      <c r="U29" s="22"/>
    </row>
    <row r="30" spans="1:21" x14ac:dyDescent="0.2">
      <c r="A30" s="9"/>
      <c r="B30" s="25" t="s">
        <v>73</v>
      </c>
      <c r="C30" s="10" t="s">
        <v>74</v>
      </c>
      <c r="D30" s="7"/>
      <c r="E30" s="11">
        <f t="shared" si="0"/>
        <v>0</v>
      </c>
      <c r="F30" s="11">
        <f t="shared" si="1"/>
        <v>0</v>
      </c>
      <c r="G30" s="11"/>
      <c r="H30" s="11"/>
      <c r="I30" s="32"/>
      <c r="J30" s="32"/>
      <c r="K30" s="32"/>
      <c r="L30" s="29">
        <f t="shared" si="2"/>
        <v>0</v>
      </c>
      <c r="M30" s="29"/>
      <c r="N30" s="169"/>
      <c r="O30" s="91"/>
      <c r="P30" s="27"/>
      <c r="Q30" s="27">
        <v>0</v>
      </c>
      <c r="R30" s="18"/>
      <c r="S30" s="3"/>
      <c r="U30" s="22"/>
    </row>
    <row r="31" spans="1:21" x14ac:dyDescent="0.2">
      <c r="A31" s="9"/>
      <c r="B31" s="25" t="s">
        <v>75</v>
      </c>
      <c r="C31" s="10" t="s">
        <v>76</v>
      </c>
      <c r="D31" s="7">
        <v>323</v>
      </c>
      <c r="E31" s="11">
        <f t="shared" si="0"/>
        <v>161.5</v>
      </c>
      <c r="F31" s="11">
        <f t="shared" si="1"/>
        <v>12</v>
      </c>
      <c r="G31" s="11">
        <v>2.75</v>
      </c>
      <c r="H31" s="11">
        <v>7.75</v>
      </c>
      <c r="I31" s="32">
        <v>209.76</v>
      </c>
      <c r="J31" s="32">
        <v>9.1999999999999993</v>
      </c>
      <c r="K31" s="32">
        <v>0</v>
      </c>
      <c r="L31" s="29">
        <f t="shared" si="2"/>
        <v>-34.959999999999994</v>
      </c>
      <c r="M31" s="29">
        <v>-35</v>
      </c>
      <c r="N31" s="169"/>
      <c r="O31" s="91"/>
      <c r="P31" s="27"/>
      <c r="Q31" s="27"/>
      <c r="U31" s="22"/>
    </row>
    <row r="32" spans="1:21" x14ac:dyDescent="0.2">
      <c r="A32" s="9"/>
      <c r="B32" s="25" t="s">
        <v>77</v>
      </c>
      <c r="C32" s="10" t="s">
        <v>78</v>
      </c>
      <c r="D32" s="7"/>
      <c r="E32" s="11">
        <f t="shared" si="0"/>
        <v>0</v>
      </c>
      <c r="F32" s="11">
        <f t="shared" si="1"/>
        <v>0</v>
      </c>
      <c r="G32" s="11"/>
      <c r="H32" s="11"/>
      <c r="I32" s="32"/>
      <c r="J32" s="32"/>
      <c r="K32" s="32"/>
      <c r="L32" s="29">
        <f t="shared" si="2"/>
        <v>0</v>
      </c>
      <c r="M32" s="29"/>
      <c r="N32" s="169"/>
      <c r="O32" s="91"/>
      <c r="P32" s="27"/>
      <c r="Q32" s="27">
        <v>6</v>
      </c>
      <c r="U32" s="22"/>
    </row>
    <row r="33" spans="1:21" x14ac:dyDescent="0.2">
      <c r="A33" s="9"/>
      <c r="B33" s="25" t="s">
        <v>31</v>
      </c>
      <c r="C33" s="10" t="s">
        <v>79</v>
      </c>
      <c r="D33" s="7"/>
      <c r="E33" s="11">
        <f t="shared" si="0"/>
        <v>0</v>
      </c>
      <c r="F33" s="11">
        <f t="shared" si="1"/>
        <v>0</v>
      </c>
      <c r="G33" s="11"/>
      <c r="H33" s="11"/>
      <c r="I33" s="32"/>
      <c r="J33" s="32"/>
      <c r="K33" s="32"/>
      <c r="L33" s="29">
        <f t="shared" si="2"/>
        <v>0</v>
      </c>
      <c r="M33" s="29"/>
      <c r="N33" s="169"/>
      <c r="O33" s="91"/>
      <c r="P33" s="27"/>
      <c r="Q33" s="27"/>
      <c r="U33" s="22"/>
    </row>
    <row r="34" spans="1:21" x14ac:dyDescent="0.2">
      <c r="A34" s="9"/>
      <c r="B34" s="25" t="s">
        <v>43</v>
      </c>
      <c r="C34" s="10" t="s">
        <v>80</v>
      </c>
      <c r="D34" s="7">
        <v>310</v>
      </c>
      <c r="E34" s="11">
        <f t="shared" si="0"/>
        <v>155</v>
      </c>
      <c r="F34" s="11">
        <f t="shared" si="1"/>
        <v>12</v>
      </c>
      <c r="G34" s="11">
        <v>2.75</v>
      </c>
      <c r="H34" s="11">
        <v>7.75</v>
      </c>
      <c r="I34" s="32">
        <v>161.06</v>
      </c>
      <c r="J34" s="32">
        <v>0</v>
      </c>
      <c r="K34" s="32">
        <v>0</v>
      </c>
      <c r="L34" s="29">
        <f t="shared" si="2"/>
        <v>16.439999999999998</v>
      </c>
      <c r="M34" s="29">
        <v>16</v>
      </c>
      <c r="N34" s="169"/>
      <c r="O34" s="91"/>
      <c r="P34" s="27"/>
      <c r="Q34" s="27">
        <v>5</v>
      </c>
      <c r="U34" s="22"/>
    </row>
    <row r="35" spans="1:21" x14ac:dyDescent="0.2">
      <c r="A35" s="9"/>
      <c r="B35" s="25" t="s">
        <v>27</v>
      </c>
      <c r="C35" s="10" t="s">
        <v>81</v>
      </c>
      <c r="D35" s="7">
        <v>417</v>
      </c>
      <c r="E35" s="11">
        <f t="shared" si="0"/>
        <v>208.5</v>
      </c>
      <c r="F35" s="11">
        <f t="shared" si="1"/>
        <v>12</v>
      </c>
      <c r="G35" s="11">
        <v>2.75</v>
      </c>
      <c r="H35" s="11">
        <v>0</v>
      </c>
      <c r="I35" s="32">
        <v>285.72000000000003</v>
      </c>
      <c r="J35" s="32">
        <v>23</v>
      </c>
      <c r="K35" s="32">
        <v>0</v>
      </c>
      <c r="L35" s="29">
        <f t="shared" si="2"/>
        <v>-85.470000000000027</v>
      </c>
      <c r="M35" s="29">
        <v>-85</v>
      </c>
      <c r="N35" s="169">
        <v>-8</v>
      </c>
      <c r="O35" s="91" t="s">
        <v>108</v>
      </c>
      <c r="P35" s="27"/>
      <c r="Q35" s="27">
        <v>6</v>
      </c>
      <c r="U35" s="22"/>
    </row>
    <row r="36" spans="1:21" x14ac:dyDescent="0.2">
      <c r="A36" s="9"/>
      <c r="B36" s="25" t="s">
        <v>82</v>
      </c>
      <c r="C36" s="10" t="s">
        <v>83</v>
      </c>
      <c r="D36" s="7"/>
      <c r="E36" s="11">
        <f t="shared" si="0"/>
        <v>0</v>
      </c>
      <c r="F36" s="11">
        <f t="shared" si="1"/>
        <v>0</v>
      </c>
      <c r="G36" s="11"/>
      <c r="H36" s="11"/>
      <c r="I36" s="32"/>
      <c r="J36" s="32"/>
      <c r="K36" s="32"/>
      <c r="L36" s="29">
        <f t="shared" si="2"/>
        <v>0</v>
      </c>
      <c r="M36" s="29"/>
      <c r="N36" s="169"/>
      <c r="O36" s="91"/>
      <c r="P36" s="27"/>
      <c r="Q36" s="27"/>
      <c r="U36" s="22"/>
    </row>
    <row r="37" spans="1:21" x14ac:dyDescent="0.2">
      <c r="A37" s="9"/>
      <c r="B37" s="25" t="s">
        <v>84</v>
      </c>
      <c r="C37" s="10" t="s">
        <v>85</v>
      </c>
      <c r="D37" s="7"/>
      <c r="E37" s="11">
        <f t="shared" si="0"/>
        <v>0</v>
      </c>
      <c r="F37" s="11">
        <f t="shared" si="1"/>
        <v>0</v>
      </c>
      <c r="G37" s="11"/>
      <c r="H37" s="11"/>
      <c r="I37" s="32"/>
      <c r="J37" s="32"/>
      <c r="K37" s="32"/>
      <c r="L37" s="29">
        <f t="shared" si="2"/>
        <v>0</v>
      </c>
      <c r="M37" s="29"/>
      <c r="N37" s="169"/>
      <c r="O37" s="91"/>
      <c r="P37" s="27" t="s">
        <v>59</v>
      </c>
      <c r="Q37" s="27"/>
      <c r="U37" s="22"/>
    </row>
    <row r="38" spans="1:21" x14ac:dyDescent="0.2">
      <c r="A38" s="9"/>
      <c r="B38" s="25" t="s">
        <v>86</v>
      </c>
      <c r="C38" s="10" t="s">
        <v>87</v>
      </c>
      <c r="D38" s="8"/>
      <c r="E38" s="11">
        <f t="shared" si="0"/>
        <v>0</v>
      </c>
      <c r="F38" s="11">
        <f t="shared" si="1"/>
        <v>0</v>
      </c>
      <c r="G38" s="11"/>
      <c r="H38" s="11"/>
      <c r="I38" s="33"/>
      <c r="J38" s="33"/>
      <c r="K38" s="33"/>
      <c r="L38" s="29">
        <f t="shared" si="2"/>
        <v>0</v>
      </c>
      <c r="M38" s="29"/>
      <c r="N38" s="171"/>
      <c r="O38" s="25"/>
      <c r="P38" s="27"/>
      <c r="Q38" s="27">
        <v>6</v>
      </c>
      <c r="U38" s="22"/>
    </row>
    <row r="39" spans="1:21" x14ac:dyDescent="0.2">
      <c r="A39" s="9"/>
      <c r="B39" s="25" t="s">
        <v>47</v>
      </c>
      <c r="C39" s="10" t="s">
        <v>88</v>
      </c>
      <c r="D39" s="7">
        <v>366</v>
      </c>
      <c r="E39" s="11">
        <f t="shared" si="0"/>
        <v>183</v>
      </c>
      <c r="F39" s="11">
        <f t="shared" si="1"/>
        <v>12</v>
      </c>
      <c r="G39" s="11">
        <v>0</v>
      </c>
      <c r="H39" s="11">
        <v>7</v>
      </c>
      <c r="I39" s="32">
        <v>280.33</v>
      </c>
      <c r="J39" s="32">
        <v>0</v>
      </c>
      <c r="K39" s="32">
        <v>0</v>
      </c>
      <c r="L39" s="29">
        <f t="shared" si="2"/>
        <v>-78.329999999999984</v>
      </c>
      <c r="M39" s="29">
        <v>-78</v>
      </c>
      <c r="N39" s="169"/>
      <c r="O39" s="91"/>
      <c r="P39" s="27"/>
      <c r="Q39" s="27">
        <v>0</v>
      </c>
      <c r="U39" s="22"/>
    </row>
    <row r="40" spans="1:21" x14ac:dyDescent="0.2">
      <c r="A40" s="9"/>
      <c r="B40" s="25" t="s">
        <v>89</v>
      </c>
      <c r="C40" s="10" t="s">
        <v>90</v>
      </c>
      <c r="D40" s="7">
        <v>247</v>
      </c>
      <c r="E40" s="11">
        <f t="shared" si="0"/>
        <v>123.5</v>
      </c>
      <c r="F40" s="11">
        <f t="shared" si="1"/>
        <v>12</v>
      </c>
      <c r="G40" s="11">
        <v>0</v>
      </c>
      <c r="H40" s="11">
        <v>7</v>
      </c>
      <c r="I40" s="32">
        <v>226</v>
      </c>
      <c r="J40" s="32">
        <v>0</v>
      </c>
      <c r="K40" s="32">
        <v>0</v>
      </c>
      <c r="L40" s="29">
        <f t="shared" si="2"/>
        <v>-83.5</v>
      </c>
      <c r="M40" s="29">
        <v>-83</v>
      </c>
      <c r="N40" s="169">
        <v>-1</v>
      </c>
      <c r="O40" s="91" t="s">
        <v>109</v>
      </c>
      <c r="P40" s="27"/>
      <c r="Q40" s="27"/>
      <c r="U40" s="22"/>
    </row>
    <row r="41" spans="1:21" x14ac:dyDescent="0.2">
      <c r="A41" s="9"/>
      <c r="B41" s="25" t="s">
        <v>91</v>
      </c>
      <c r="C41" s="10" t="s">
        <v>92</v>
      </c>
      <c r="D41" s="7"/>
      <c r="E41" s="11">
        <f t="shared" si="0"/>
        <v>0</v>
      </c>
      <c r="F41" s="11">
        <f t="shared" si="1"/>
        <v>0</v>
      </c>
      <c r="G41" s="11"/>
      <c r="H41" s="11"/>
      <c r="I41" s="32"/>
      <c r="J41" s="32"/>
      <c r="K41" s="32"/>
      <c r="L41" s="29">
        <f t="shared" si="2"/>
        <v>0</v>
      </c>
      <c r="M41" s="29"/>
      <c r="N41" s="169"/>
      <c r="O41" s="91"/>
      <c r="P41" s="27"/>
      <c r="Q41" s="27"/>
      <c r="U41" s="22"/>
    </row>
    <row r="42" spans="1:21" x14ac:dyDescent="0.2">
      <c r="A42" s="102"/>
      <c r="B42" s="25" t="s">
        <v>93</v>
      </c>
      <c r="C42" s="10" t="s">
        <v>94</v>
      </c>
      <c r="D42" s="7"/>
      <c r="E42" s="11">
        <f t="shared" si="0"/>
        <v>0</v>
      </c>
      <c r="F42" s="11">
        <f t="shared" si="1"/>
        <v>0</v>
      </c>
      <c r="G42" s="11"/>
      <c r="H42" s="11"/>
      <c r="I42" s="32"/>
      <c r="J42" s="32"/>
      <c r="K42" s="32"/>
      <c r="L42" s="29">
        <f t="shared" si="2"/>
        <v>0</v>
      </c>
      <c r="M42" s="29"/>
      <c r="N42" s="169"/>
      <c r="O42" s="91"/>
      <c r="P42" s="27"/>
      <c r="Q42" s="27"/>
      <c r="U42" s="22"/>
    </row>
    <row r="43" spans="1:21" x14ac:dyDescent="0.2">
      <c r="A43" s="9"/>
      <c r="B43" s="25" t="s">
        <v>99</v>
      </c>
      <c r="C43" s="10" t="s">
        <v>95</v>
      </c>
      <c r="D43" s="7">
        <v>347</v>
      </c>
      <c r="E43" s="11">
        <f t="shared" si="0"/>
        <v>173.5</v>
      </c>
      <c r="F43" s="11">
        <f t="shared" si="1"/>
        <v>12</v>
      </c>
      <c r="G43" s="11">
        <v>0</v>
      </c>
      <c r="H43" s="11">
        <v>7</v>
      </c>
      <c r="I43" s="32">
        <v>97.46</v>
      </c>
      <c r="J43" s="32">
        <v>112.67</v>
      </c>
      <c r="K43" s="32">
        <v>0</v>
      </c>
      <c r="L43" s="29">
        <f t="shared" si="2"/>
        <v>-17.629999999999995</v>
      </c>
      <c r="M43" s="29">
        <v>-18</v>
      </c>
      <c r="N43" s="169">
        <v>-4</v>
      </c>
      <c r="O43" s="91" t="s">
        <v>110</v>
      </c>
      <c r="P43" s="27"/>
      <c r="Q43" s="27"/>
      <c r="U43" s="22"/>
    </row>
    <row r="44" spans="1:21" x14ac:dyDescent="0.2">
      <c r="A44" s="9"/>
      <c r="B44" s="25" t="s">
        <v>111</v>
      </c>
      <c r="C44" s="10" t="s">
        <v>96</v>
      </c>
      <c r="D44" s="7">
        <v>257</v>
      </c>
      <c r="E44" s="11">
        <f t="shared" si="0"/>
        <v>128.5</v>
      </c>
      <c r="F44" s="11">
        <f t="shared" si="1"/>
        <v>12</v>
      </c>
      <c r="G44" s="11">
        <v>0</v>
      </c>
      <c r="H44" s="11">
        <v>7</v>
      </c>
      <c r="I44" s="32">
        <v>106.05</v>
      </c>
      <c r="J44" s="32">
        <v>58.65</v>
      </c>
      <c r="K44" s="32">
        <v>0</v>
      </c>
      <c r="L44" s="29">
        <f t="shared" si="2"/>
        <v>-17.199999999999996</v>
      </c>
      <c r="M44" s="29">
        <v>-17</v>
      </c>
      <c r="N44" s="169"/>
      <c r="O44" s="91"/>
      <c r="P44" s="27"/>
      <c r="Q44" s="27"/>
      <c r="U44" s="22"/>
    </row>
    <row r="45" spans="1:21" x14ac:dyDescent="0.2">
      <c r="A45" s="9"/>
      <c r="B45" s="25" t="s">
        <v>97</v>
      </c>
      <c r="C45" s="10" t="s">
        <v>98</v>
      </c>
      <c r="D45" s="7">
        <v>242</v>
      </c>
      <c r="E45" s="11">
        <f t="shared" si="0"/>
        <v>121</v>
      </c>
      <c r="F45" s="11">
        <f t="shared" si="1"/>
        <v>12</v>
      </c>
      <c r="G45" s="11">
        <v>0</v>
      </c>
      <c r="H45" s="11">
        <v>0</v>
      </c>
      <c r="I45" s="32">
        <v>6.9</v>
      </c>
      <c r="J45" s="32">
        <v>152.91999999999999</v>
      </c>
      <c r="K45" s="32">
        <v>0</v>
      </c>
      <c r="L45" s="29">
        <f t="shared" si="2"/>
        <v>-26.819999999999993</v>
      </c>
      <c r="M45" s="29">
        <v>-27</v>
      </c>
      <c r="N45" s="169"/>
      <c r="O45" s="91"/>
      <c r="P45" s="27"/>
      <c r="Q45" s="27"/>
      <c r="U45" s="22"/>
    </row>
    <row r="46" spans="1:21" x14ac:dyDescent="0.2">
      <c r="A46" s="9"/>
      <c r="B46" s="25" t="s">
        <v>99</v>
      </c>
      <c r="C46" s="10" t="s">
        <v>100</v>
      </c>
      <c r="D46" s="7"/>
      <c r="E46" s="11">
        <f t="shared" si="0"/>
        <v>0</v>
      </c>
      <c r="F46" s="11">
        <f t="shared" si="1"/>
        <v>0</v>
      </c>
      <c r="G46" s="11"/>
      <c r="H46" s="11"/>
      <c r="I46" s="32"/>
      <c r="J46" s="32"/>
      <c r="K46" s="32"/>
      <c r="L46" s="29">
        <f t="shared" si="2"/>
        <v>0</v>
      </c>
      <c r="M46" s="29"/>
      <c r="N46" s="169"/>
      <c r="O46" s="91"/>
      <c r="P46" s="27"/>
      <c r="Q46" s="27">
        <v>6</v>
      </c>
      <c r="U46" s="22"/>
    </row>
    <row r="47" spans="1:21" x14ac:dyDescent="0.2">
      <c r="A47" s="9"/>
      <c r="B47" s="25"/>
      <c r="C47" s="10"/>
      <c r="D47" s="7"/>
      <c r="E47" s="11">
        <f t="shared" si="0"/>
        <v>0</v>
      </c>
      <c r="F47" s="11">
        <f t="shared" si="1"/>
        <v>0</v>
      </c>
      <c r="G47" s="11"/>
      <c r="H47" s="11"/>
      <c r="I47" s="32"/>
      <c r="J47" s="32"/>
      <c r="K47" s="32"/>
      <c r="L47" s="29">
        <f t="shared" si="2"/>
        <v>0</v>
      </c>
      <c r="M47" s="29"/>
      <c r="N47" s="169"/>
      <c r="O47" s="91"/>
      <c r="P47" s="27"/>
      <c r="Q47" s="27">
        <v>6</v>
      </c>
      <c r="U47" s="22"/>
    </row>
    <row r="48" spans="1:21" x14ac:dyDescent="0.2">
      <c r="D48" s="3">
        <f t="shared" ref="D48:N48" si="3">SUM(D4:D47)</f>
        <v>7479</v>
      </c>
      <c r="E48" s="21">
        <f t="shared" si="3"/>
        <v>3382.75</v>
      </c>
      <c r="F48" s="3">
        <f t="shared" si="3"/>
        <v>240</v>
      </c>
      <c r="G48" s="3">
        <f t="shared" si="3"/>
        <v>46.75</v>
      </c>
      <c r="H48" s="3">
        <f t="shared" si="3"/>
        <v>168.75</v>
      </c>
      <c r="I48" s="3">
        <f t="shared" si="3"/>
        <v>3395.5800000000004</v>
      </c>
      <c r="J48" s="3">
        <f t="shared" si="3"/>
        <v>1138.18</v>
      </c>
      <c r="K48" s="3">
        <f t="shared" si="3"/>
        <v>0</v>
      </c>
      <c r="L48" s="3">
        <f t="shared" si="3"/>
        <v>-695.51</v>
      </c>
      <c r="M48" s="3">
        <f t="shared" si="3"/>
        <v>-695</v>
      </c>
      <c r="N48" s="3">
        <f t="shared" si="3"/>
        <v>-83</v>
      </c>
      <c r="O48" s="174"/>
    </row>
    <row r="49" spans="5:5" x14ac:dyDescent="0.2">
      <c r="E49" s="2"/>
    </row>
    <row r="50" spans="5:5" x14ac:dyDescent="0.2">
      <c r="E50" s="2"/>
    </row>
    <row r="51" spans="5:5" x14ac:dyDescent="0.2">
      <c r="E51" s="2"/>
    </row>
    <row r="52" spans="5:5" x14ac:dyDescent="0.2">
      <c r="E52" s="2"/>
    </row>
    <row r="53" spans="5:5" x14ac:dyDescent="0.2">
      <c r="E53" s="2"/>
    </row>
  </sheetData>
  <mergeCells count="1">
    <mergeCell ref="R26:S26"/>
  </mergeCells>
  <conditionalFormatting sqref="C4:C12">
    <cfRule type="expression" dxfId="66" priority="1">
      <formula>$M4&lt;0</formula>
    </cfRule>
  </conditionalFormatting>
  <conditionalFormatting sqref="C13">
    <cfRule type="expression" dxfId="65" priority="5">
      <formula>$M$13&lt;0</formula>
    </cfRule>
  </conditionalFormatting>
  <conditionalFormatting sqref="C14:C47">
    <cfRule type="expression" dxfId="64" priority="2">
      <formula>$M14&lt;0</formula>
    </cfRule>
  </conditionalFormatting>
  <conditionalFormatting sqref="M4:M47">
    <cfRule type="cellIs" dxfId="63" priority="9" operator="lessThan">
      <formula>0</formula>
    </cfRule>
  </conditionalFormatting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48"/>
  <sheetViews>
    <sheetView showGridLines="0" workbookViewId="0">
      <selection activeCell="M23" sqref="M23"/>
    </sheetView>
  </sheetViews>
  <sheetFormatPr baseColWidth="10" defaultColWidth="8.83203125" defaultRowHeight="15" x14ac:dyDescent="0.2"/>
  <cols>
    <col min="1" max="1" width="5.33203125" style="1" customWidth="1"/>
    <col min="2" max="2" width="12.1640625" style="26" customWidth="1"/>
    <col min="3" max="3" width="18.83203125" style="1" bestFit="1" customWidth="1"/>
    <col min="4" max="7" width="12.1640625" customWidth="1"/>
    <col min="8" max="8" width="12.1640625" style="22" customWidth="1"/>
    <col min="9" max="13" width="12.1640625" customWidth="1"/>
    <col min="14" max="14" width="10.83203125" bestFit="1" customWidth="1"/>
    <col min="15" max="15" width="23.33203125" bestFit="1" customWidth="1"/>
    <col min="16" max="17" width="6" style="1" customWidth="1"/>
    <col min="18" max="18" width="12.5" bestFit="1" customWidth="1"/>
    <col min="19" max="19" width="10.6640625" customWidth="1"/>
  </cols>
  <sheetData>
    <row r="1" spans="1:22" x14ac:dyDescent="0.2">
      <c r="A1" s="4" t="s">
        <v>0</v>
      </c>
      <c r="B1" s="108" t="str">
        <f>'Mon AM'!B1</f>
        <v>4/6</v>
      </c>
      <c r="C1" s="208"/>
      <c r="D1" s="4" t="s">
        <v>1</v>
      </c>
      <c r="E1" s="6" t="s">
        <v>112</v>
      </c>
    </row>
    <row r="3" spans="1:22" x14ac:dyDescent="0.2">
      <c r="A3" s="4"/>
      <c r="B3" s="23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101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28" t="s">
        <v>16</v>
      </c>
    </row>
    <row r="4" spans="1:22" x14ac:dyDescent="0.2">
      <c r="A4" s="10"/>
      <c r="B4" s="24" t="s">
        <v>113</v>
      </c>
      <c r="C4" s="10" t="s">
        <v>114</v>
      </c>
      <c r="D4" s="11"/>
      <c r="E4" s="11">
        <f t="shared" ref="E4:E47" si="0">IF(AND(VALUE(B4)&lt;100, D4&gt;0),D4*0.5,D4*0.25)</f>
        <v>0</v>
      </c>
      <c r="F4" s="11">
        <f t="shared" ref="F4:F47" si="1">IF(P4="C",Q4,IF(AND(VALUE(B4)&lt;100, D4&gt;0),12,IF(D4&gt;0,2,0)))</f>
        <v>0</v>
      </c>
      <c r="G4" s="11"/>
      <c r="H4" s="11"/>
      <c r="I4" s="31"/>
      <c r="J4" s="31"/>
      <c r="K4" s="31"/>
      <c r="L4" s="29">
        <f t="shared" ref="L4:L47" si="2">(E4+F4+G4+H4)-I4-J4-K4</f>
        <v>0</v>
      </c>
      <c r="M4" s="29"/>
      <c r="N4" s="169"/>
      <c r="O4" s="172"/>
      <c r="P4" s="27" t="s">
        <v>59</v>
      </c>
      <c r="Q4" s="27">
        <v>0</v>
      </c>
      <c r="R4" s="15" t="s">
        <v>19</v>
      </c>
      <c r="S4" s="12">
        <f>D48</f>
        <v>2789</v>
      </c>
      <c r="U4" s="1"/>
      <c r="V4" s="1"/>
    </row>
    <row r="5" spans="1:22" x14ac:dyDescent="0.2">
      <c r="A5" s="9"/>
      <c r="B5" s="25" t="s">
        <v>115</v>
      </c>
      <c r="C5" s="10" t="s">
        <v>116</v>
      </c>
      <c r="D5" s="7">
        <v>92</v>
      </c>
      <c r="E5" s="11">
        <f t="shared" si="0"/>
        <v>23</v>
      </c>
      <c r="F5" s="11">
        <f t="shared" si="1"/>
        <v>2</v>
      </c>
      <c r="G5" s="11">
        <v>0</v>
      </c>
      <c r="H5" s="11">
        <v>0</v>
      </c>
      <c r="I5" s="32">
        <v>0</v>
      </c>
      <c r="J5" s="32">
        <v>0</v>
      </c>
      <c r="K5" s="32">
        <v>0</v>
      </c>
      <c r="L5" s="29">
        <f t="shared" si="2"/>
        <v>25</v>
      </c>
      <c r="M5" s="29">
        <v>1</v>
      </c>
      <c r="N5" s="169">
        <v>24</v>
      </c>
      <c r="O5" s="91"/>
      <c r="P5" s="27"/>
      <c r="Q5" s="27">
        <v>6</v>
      </c>
      <c r="R5" s="16" t="s">
        <v>22</v>
      </c>
      <c r="S5" s="13">
        <f>E48</f>
        <v>1304</v>
      </c>
      <c r="U5" s="1"/>
      <c r="V5" s="1"/>
    </row>
    <row r="6" spans="1:22" x14ac:dyDescent="0.2">
      <c r="A6" s="9"/>
      <c r="B6" s="25" t="s">
        <v>117</v>
      </c>
      <c r="C6" s="10" t="s">
        <v>118</v>
      </c>
      <c r="D6" s="7"/>
      <c r="E6" s="11">
        <f t="shared" si="0"/>
        <v>0</v>
      </c>
      <c r="F6" s="11">
        <f t="shared" si="1"/>
        <v>0</v>
      </c>
      <c r="G6" s="11"/>
      <c r="H6" s="11"/>
      <c r="I6" s="32"/>
      <c r="J6" s="32"/>
      <c r="K6" s="32"/>
      <c r="L6" s="29">
        <f t="shared" si="2"/>
        <v>0</v>
      </c>
      <c r="M6" s="29"/>
      <c r="N6" s="169"/>
      <c r="O6" s="91"/>
      <c r="P6" s="27"/>
      <c r="Q6" s="27">
        <v>0</v>
      </c>
      <c r="R6" s="16" t="s">
        <v>7</v>
      </c>
      <c r="S6" s="13">
        <f>F48</f>
        <v>96</v>
      </c>
    </row>
    <row r="7" spans="1:22" x14ac:dyDescent="0.2">
      <c r="A7" s="9"/>
      <c r="B7" s="25" t="s">
        <v>17</v>
      </c>
      <c r="C7" s="10" t="s">
        <v>119</v>
      </c>
      <c r="D7" s="7">
        <v>443</v>
      </c>
      <c r="E7" s="11">
        <f t="shared" si="0"/>
        <v>221.5</v>
      </c>
      <c r="F7" s="11">
        <f t="shared" si="1"/>
        <v>12</v>
      </c>
      <c r="G7" s="11">
        <v>0</v>
      </c>
      <c r="H7" s="11">
        <v>17.5</v>
      </c>
      <c r="I7" s="32">
        <v>218</v>
      </c>
      <c r="J7" s="32">
        <v>0</v>
      </c>
      <c r="K7" s="32">
        <v>0</v>
      </c>
      <c r="L7" s="29">
        <f t="shared" si="2"/>
        <v>33</v>
      </c>
      <c r="M7" s="29">
        <v>33</v>
      </c>
      <c r="N7" s="169"/>
      <c r="O7" s="91"/>
      <c r="P7" s="27"/>
      <c r="Q7" s="27">
        <v>6</v>
      </c>
      <c r="R7" s="16" t="s">
        <v>8</v>
      </c>
      <c r="S7" s="13">
        <f>G48</f>
        <v>13.75</v>
      </c>
    </row>
    <row r="8" spans="1:22" x14ac:dyDescent="0.2">
      <c r="A8" s="9"/>
      <c r="B8" s="25" t="s">
        <v>120</v>
      </c>
      <c r="C8" s="10" t="s">
        <v>121</v>
      </c>
      <c r="D8" s="7"/>
      <c r="E8" s="11">
        <f t="shared" si="0"/>
        <v>0</v>
      </c>
      <c r="F8" s="11">
        <f t="shared" si="1"/>
        <v>0</v>
      </c>
      <c r="G8" s="11"/>
      <c r="H8" s="11"/>
      <c r="I8" s="32"/>
      <c r="J8" s="32"/>
      <c r="K8" s="32"/>
      <c r="L8" s="29">
        <f t="shared" si="2"/>
        <v>0</v>
      </c>
      <c r="M8" s="29"/>
      <c r="N8" s="169"/>
      <c r="O8" s="91"/>
      <c r="P8" s="27"/>
      <c r="Q8" s="27">
        <v>6</v>
      </c>
      <c r="R8" s="16" t="s">
        <v>9</v>
      </c>
      <c r="S8" s="13">
        <f>H48</f>
        <v>72.25</v>
      </c>
    </row>
    <row r="9" spans="1:22" x14ac:dyDescent="0.2">
      <c r="A9" s="9"/>
      <c r="B9" s="25" t="s">
        <v>111</v>
      </c>
      <c r="C9" s="10" t="s">
        <v>122</v>
      </c>
      <c r="D9" s="7">
        <v>372</v>
      </c>
      <c r="E9" s="11">
        <f t="shared" si="0"/>
        <v>186</v>
      </c>
      <c r="F9" s="11">
        <f t="shared" si="1"/>
        <v>12</v>
      </c>
      <c r="G9" s="11">
        <v>0</v>
      </c>
      <c r="H9" s="11">
        <v>10.5</v>
      </c>
      <c r="I9" s="32">
        <v>63.5</v>
      </c>
      <c r="J9" s="32">
        <v>115</v>
      </c>
      <c r="K9" s="32">
        <v>0</v>
      </c>
      <c r="L9" s="29">
        <f t="shared" si="2"/>
        <v>30</v>
      </c>
      <c r="M9" s="29">
        <v>30</v>
      </c>
      <c r="N9" s="170"/>
      <c r="O9" s="91"/>
      <c r="P9" s="27"/>
      <c r="Q9" s="27">
        <v>0</v>
      </c>
      <c r="R9" s="16" t="s">
        <v>10</v>
      </c>
      <c r="S9" s="13">
        <f>I48</f>
        <v>1037.3900000000001</v>
      </c>
    </row>
    <row r="10" spans="1:22" x14ac:dyDescent="0.2">
      <c r="A10" s="9"/>
      <c r="B10" s="25" t="s">
        <v>52</v>
      </c>
      <c r="C10" s="10" t="s">
        <v>123</v>
      </c>
      <c r="D10" s="7"/>
      <c r="E10" s="11">
        <f t="shared" si="0"/>
        <v>0</v>
      </c>
      <c r="F10" s="11">
        <f t="shared" si="1"/>
        <v>0</v>
      </c>
      <c r="G10" s="11"/>
      <c r="H10" s="11"/>
      <c r="I10" s="32"/>
      <c r="J10" s="32"/>
      <c r="K10" s="32"/>
      <c r="L10" s="29">
        <f t="shared" si="2"/>
        <v>0</v>
      </c>
      <c r="M10" s="29"/>
      <c r="N10" s="169"/>
      <c r="O10" s="91"/>
      <c r="P10" s="27"/>
      <c r="Q10" s="27">
        <v>6</v>
      </c>
      <c r="R10" s="16" t="s">
        <v>11</v>
      </c>
      <c r="S10" s="13">
        <f>J48</f>
        <v>559.21</v>
      </c>
    </row>
    <row r="11" spans="1:22" x14ac:dyDescent="0.2">
      <c r="A11" s="9"/>
      <c r="B11" s="25" t="s">
        <v>97</v>
      </c>
      <c r="C11" s="10" t="s">
        <v>124</v>
      </c>
      <c r="D11" s="7">
        <v>142</v>
      </c>
      <c r="E11" s="11">
        <f t="shared" si="0"/>
        <v>71</v>
      </c>
      <c r="F11" s="11">
        <f t="shared" si="1"/>
        <v>6</v>
      </c>
      <c r="G11" s="11">
        <v>0</v>
      </c>
      <c r="H11" s="11">
        <v>0</v>
      </c>
      <c r="I11" s="32">
        <v>23.7</v>
      </c>
      <c r="J11" s="32">
        <v>33.950000000000003</v>
      </c>
      <c r="K11" s="32">
        <v>0</v>
      </c>
      <c r="L11" s="29">
        <f t="shared" si="2"/>
        <v>19.349999999999994</v>
      </c>
      <c r="M11" s="29">
        <v>19</v>
      </c>
      <c r="N11" s="169">
        <v>0</v>
      </c>
      <c r="O11" s="91"/>
      <c r="P11" s="27" t="s">
        <v>59</v>
      </c>
      <c r="Q11" s="27">
        <v>6</v>
      </c>
      <c r="R11" s="16" t="s">
        <v>12</v>
      </c>
      <c r="S11" s="13">
        <f>K48</f>
        <v>0</v>
      </c>
    </row>
    <row r="12" spans="1:22" x14ac:dyDescent="0.2">
      <c r="A12" s="102"/>
      <c r="B12" s="25" t="s">
        <v>52</v>
      </c>
      <c r="C12" s="10" t="s">
        <v>125</v>
      </c>
      <c r="D12" s="7">
        <v>290</v>
      </c>
      <c r="E12" s="11">
        <f t="shared" si="0"/>
        <v>145</v>
      </c>
      <c r="F12" s="11">
        <f t="shared" si="1"/>
        <v>12</v>
      </c>
      <c r="G12" s="11">
        <v>0</v>
      </c>
      <c r="H12" s="11">
        <v>3.5</v>
      </c>
      <c r="I12" s="32">
        <v>0</v>
      </c>
      <c r="J12" s="32">
        <v>29.9</v>
      </c>
      <c r="K12" s="32">
        <v>0</v>
      </c>
      <c r="L12" s="29">
        <f t="shared" si="2"/>
        <v>130.6</v>
      </c>
      <c r="M12" s="29">
        <v>131</v>
      </c>
      <c r="N12" s="170"/>
      <c r="O12" s="173"/>
      <c r="P12" s="27"/>
      <c r="Q12" s="27">
        <v>6</v>
      </c>
      <c r="R12" s="17" t="s">
        <v>37</v>
      </c>
      <c r="S12" s="14">
        <f>N48</f>
        <v>1</v>
      </c>
    </row>
    <row r="13" spans="1:22" x14ac:dyDescent="0.2">
      <c r="A13" s="102"/>
      <c r="B13" s="25" t="s">
        <v>111</v>
      </c>
      <c r="C13" s="10" t="s">
        <v>126</v>
      </c>
      <c r="D13" s="7"/>
      <c r="E13" s="11">
        <f t="shared" si="0"/>
        <v>0</v>
      </c>
      <c r="F13" s="11">
        <f t="shared" si="1"/>
        <v>0</v>
      </c>
      <c r="G13" s="11"/>
      <c r="H13" s="11"/>
      <c r="I13" s="32"/>
      <c r="J13" s="32"/>
      <c r="K13" s="32"/>
      <c r="L13" s="29">
        <f t="shared" si="2"/>
        <v>0</v>
      </c>
      <c r="M13" s="29"/>
      <c r="N13" s="169"/>
      <c r="O13" s="91"/>
      <c r="P13" s="27"/>
      <c r="Q13" s="27"/>
      <c r="R13" s="18"/>
      <c r="S13" s="30">
        <f>S5+S6+S7-S9-S10-S11-S12</f>
        <v>-183.85000000000014</v>
      </c>
      <c r="T13" s="22"/>
    </row>
    <row r="14" spans="1:22" x14ac:dyDescent="0.2">
      <c r="A14" s="9"/>
      <c r="B14" s="25" t="s">
        <v>52</v>
      </c>
      <c r="C14" s="10" t="s">
        <v>53</v>
      </c>
      <c r="D14" s="7"/>
      <c r="E14" s="11">
        <f t="shared" si="0"/>
        <v>0</v>
      </c>
      <c r="F14" s="11">
        <f t="shared" si="1"/>
        <v>0</v>
      </c>
      <c r="G14" s="11"/>
      <c r="H14" s="11"/>
      <c r="I14" s="32"/>
      <c r="J14" s="32"/>
      <c r="K14" s="32"/>
      <c r="L14" s="29">
        <f t="shared" si="2"/>
        <v>0</v>
      </c>
      <c r="M14" s="29"/>
      <c r="N14" s="169"/>
      <c r="O14" s="91"/>
      <c r="P14" s="27"/>
      <c r="Q14" s="27"/>
      <c r="R14" s="19" t="s">
        <v>42</v>
      </c>
      <c r="S14" s="20">
        <f>M48</f>
        <v>-134</v>
      </c>
    </row>
    <row r="15" spans="1:22" x14ac:dyDescent="0.2">
      <c r="A15" s="9"/>
      <c r="B15" s="25" t="s">
        <v>127</v>
      </c>
      <c r="C15" s="10" t="s">
        <v>128</v>
      </c>
      <c r="D15" s="7"/>
      <c r="E15" s="11">
        <f t="shared" si="0"/>
        <v>0</v>
      </c>
      <c r="F15" s="11">
        <f t="shared" si="1"/>
        <v>0</v>
      </c>
      <c r="G15" s="11"/>
      <c r="H15" s="11"/>
      <c r="I15" s="32"/>
      <c r="J15" s="32"/>
      <c r="K15" s="32"/>
      <c r="L15" s="29">
        <f t="shared" si="2"/>
        <v>0</v>
      </c>
      <c r="M15" s="29"/>
      <c r="N15" s="169"/>
      <c r="O15" s="91"/>
      <c r="P15" s="27"/>
      <c r="Q15" s="27"/>
    </row>
    <row r="16" spans="1:22" x14ac:dyDescent="0.2">
      <c r="A16" s="9"/>
      <c r="B16" s="25" t="s">
        <v>47</v>
      </c>
      <c r="C16" s="10" t="s">
        <v>129</v>
      </c>
      <c r="D16" s="7"/>
      <c r="E16" s="11">
        <f t="shared" si="0"/>
        <v>0</v>
      </c>
      <c r="F16" s="11">
        <f t="shared" si="1"/>
        <v>0</v>
      </c>
      <c r="G16" s="11"/>
      <c r="H16" s="11"/>
      <c r="I16" s="32"/>
      <c r="J16" s="32"/>
      <c r="K16" s="32"/>
      <c r="L16" s="29">
        <f t="shared" si="2"/>
        <v>0</v>
      </c>
      <c r="M16" s="29"/>
      <c r="N16" s="169"/>
      <c r="O16" s="91"/>
      <c r="P16" s="27" t="s">
        <v>59</v>
      </c>
      <c r="Q16" s="27"/>
      <c r="R16" s="35"/>
      <c r="S16" s="35"/>
      <c r="T16" s="35"/>
      <c r="U16" s="35"/>
    </row>
    <row r="17" spans="1:21" x14ac:dyDescent="0.2">
      <c r="A17" s="9"/>
      <c r="B17" s="25" t="s">
        <v>31</v>
      </c>
      <c r="C17" s="10" t="s">
        <v>130</v>
      </c>
      <c r="D17" s="7"/>
      <c r="E17" s="11">
        <f t="shared" si="0"/>
        <v>0</v>
      </c>
      <c r="F17" s="11">
        <f t="shared" si="1"/>
        <v>0</v>
      </c>
      <c r="G17" s="11"/>
      <c r="H17" s="11"/>
      <c r="I17" s="32"/>
      <c r="J17" s="32"/>
      <c r="K17" s="32"/>
      <c r="L17" s="29">
        <f t="shared" si="2"/>
        <v>0</v>
      </c>
      <c r="M17" s="29"/>
      <c r="N17" s="169"/>
      <c r="O17" s="91"/>
      <c r="P17" s="27"/>
      <c r="Q17" s="27"/>
      <c r="R17" s="35"/>
      <c r="S17" s="35"/>
      <c r="T17" s="35"/>
      <c r="U17" s="35"/>
    </row>
    <row r="18" spans="1:21" x14ac:dyDescent="0.2">
      <c r="A18" s="9"/>
      <c r="B18" s="25" t="s">
        <v>131</v>
      </c>
      <c r="C18" s="10" t="s">
        <v>132</v>
      </c>
      <c r="D18" s="7"/>
      <c r="E18" s="11">
        <f t="shared" si="0"/>
        <v>0</v>
      </c>
      <c r="F18" s="11">
        <f t="shared" si="1"/>
        <v>0</v>
      </c>
      <c r="G18" s="11"/>
      <c r="H18" s="11"/>
      <c r="I18" s="32"/>
      <c r="J18" s="32"/>
      <c r="K18" s="32"/>
      <c r="L18" s="29">
        <f t="shared" si="2"/>
        <v>0</v>
      </c>
      <c r="M18" s="29"/>
      <c r="N18" s="169"/>
      <c r="O18" s="91"/>
      <c r="P18" s="27"/>
      <c r="Q18" s="27"/>
      <c r="R18" s="15" t="s">
        <v>51</v>
      </c>
      <c r="S18" s="95">
        <f t="array" ref="S18">SUMPRODUCT((VALUE(B4:B47)&lt;100)*(D4:D47&gt;0))</f>
        <v>8</v>
      </c>
      <c r="T18" s="35"/>
      <c r="U18" s="35"/>
    </row>
    <row r="19" spans="1:21" x14ac:dyDescent="0.2">
      <c r="A19" s="9"/>
      <c r="B19" s="25" t="s">
        <v>89</v>
      </c>
      <c r="C19" s="10" t="s">
        <v>133</v>
      </c>
      <c r="D19" s="7"/>
      <c r="E19" s="11">
        <f t="shared" si="0"/>
        <v>0</v>
      </c>
      <c r="F19" s="11">
        <f t="shared" si="1"/>
        <v>0</v>
      </c>
      <c r="G19" s="11"/>
      <c r="H19" s="11"/>
      <c r="I19" s="32"/>
      <c r="J19" s="32"/>
      <c r="K19" s="32"/>
      <c r="L19" s="29">
        <f t="shared" si="2"/>
        <v>0</v>
      </c>
      <c r="M19" s="29"/>
      <c r="N19" s="169"/>
      <c r="O19" s="91"/>
      <c r="P19" s="27"/>
      <c r="Q19" s="27"/>
      <c r="R19" s="16" t="s">
        <v>54</v>
      </c>
      <c r="S19" s="96">
        <f t="array" ref="S19">SUMPRODUCT((VALUE(B4:B47)&gt;100)*(D4:D47&gt;0))</f>
        <v>3</v>
      </c>
      <c r="T19" s="35"/>
      <c r="U19" s="35"/>
    </row>
    <row r="20" spans="1:21" x14ac:dyDescent="0.2">
      <c r="A20" s="9"/>
      <c r="B20" s="25" t="s">
        <v>134</v>
      </c>
      <c r="C20" s="10" t="s">
        <v>135</v>
      </c>
      <c r="D20" s="7">
        <v>262</v>
      </c>
      <c r="E20" s="11">
        <f t="shared" si="0"/>
        <v>131</v>
      </c>
      <c r="F20" s="11">
        <f t="shared" si="1"/>
        <v>12</v>
      </c>
      <c r="G20" s="11">
        <v>0</v>
      </c>
      <c r="H20" s="11">
        <v>7</v>
      </c>
      <c r="I20" s="32">
        <v>242.32</v>
      </c>
      <c r="J20" s="32">
        <v>0</v>
      </c>
      <c r="K20" s="32">
        <v>0</v>
      </c>
      <c r="L20" s="29">
        <f t="shared" si="2"/>
        <v>-92.32</v>
      </c>
      <c r="M20" s="29">
        <v>-92</v>
      </c>
      <c r="N20" s="169"/>
      <c r="O20" s="91"/>
      <c r="P20" s="27"/>
      <c r="Q20" s="27"/>
      <c r="R20" s="17" t="s">
        <v>57</v>
      </c>
      <c r="S20" s="97">
        <f>S18+S19</f>
        <v>11</v>
      </c>
      <c r="T20" s="35"/>
      <c r="U20" s="35"/>
    </row>
    <row r="21" spans="1:21" x14ac:dyDescent="0.2">
      <c r="A21" s="9"/>
      <c r="B21" s="25" t="s">
        <v>52</v>
      </c>
      <c r="C21" s="10" t="s">
        <v>136</v>
      </c>
      <c r="D21" s="7"/>
      <c r="E21" s="11">
        <f t="shared" si="0"/>
        <v>0</v>
      </c>
      <c r="F21" s="11">
        <f t="shared" si="1"/>
        <v>0</v>
      </c>
      <c r="G21" s="11"/>
      <c r="H21" s="11"/>
      <c r="I21" s="32"/>
      <c r="J21" s="32"/>
      <c r="K21" s="32"/>
      <c r="L21" s="29">
        <f t="shared" si="2"/>
        <v>0</v>
      </c>
      <c r="M21" s="29"/>
      <c r="N21" s="169"/>
      <c r="O21" s="91"/>
      <c r="P21" s="27"/>
      <c r="Q21" s="27"/>
      <c r="R21" s="35"/>
      <c r="S21" s="35"/>
      <c r="T21" s="35"/>
      <c r="U21" s="35"/>
    </row>
    <row r="22" spans="1:21" x14ac:dyDescent="0.2">
      <c r="A22" s="9"/>
      <c r="B22" s="25" t="s">
        <v>63</v>
      </c>
      <c r="C22" s="10" t="s">
        <v>137</v>
      </c>
      <c r="D22" s="7">
        <v>308</v>
      </c>
      <c r="E22" s="11">
        <f t="shared" si="0"/>
        <v>154</v>
      </c>
      <c r="F22" s="11">
        <f t="shared" si="1"/>
        <v>12</v>
      </c>
      <c r="G22" s="11">
        <v>0</v>
      </c>
      <c r="H22" s="11">
        <v>10.5</v>
      </c>
      <c r="I22" s="32">
        <v>114.5</v>
      </c>
      <c r="J22" s="32">
        <v>83.92</v>
      </c>
      <c r="K22" s="32">
        <v>0</v>
      </c>
      <c r="L22" s="29">
        <f t="shared" si="2"/>
        <v>-21.92</v>
      </c>
      <c r="M22" s="29">
        <v>-22</v>
      </c>
      <c r="N22" s="169">
        <v>-22</v>
      </c>
      <c r="O22" s="91" t="s">
        <v>138</v>
      </c>
      <c r="P22" s="27"/>
      <c r="Q22" s="27">
        <v>6</v>
      </c>
    </row>
    <row r="23" spans="1:21" x14ac:dyDescent="0.2">
      <c r="A23" s="9"/>
      <c r="B23" s="25" t="s">
        <v>77</v>
      </c>
      <c r="C23" s="10" t="s">
        <v>139</v>
      </c>
      <c r="D23" s="7"/>
      <c r="E23" s="11">
        <f t="shared" si="0"/>
        <v>0</v>
      </c>
      <c r="F23" s="11">
        <f t="shared" si="1"/>
        <v>0</v>
      </c>
      <c r="G23" s="11"/>
      <c r="H23" s="11"/>
      <c r="I23" s="32"/>
      <c r="J23" s="32"/>
      <c r="K23" s="32"/>
      <c r="L23" s="29">
        <f t="shared" si="2"/>
        <v>0</v>
      </c>
      <c r="M23" s="29"/>
      <c r="N23" s="169"/>
      <c r="O23" s="91"/>
      <c r="P23" s="98" t="s">
        <v>59</v>
      </c>
      <c r="Q23" s="98">
        <v>0</v>
      </c>
    </row>
    <row r="24" spans="1:21" x14ac:dyDescent="0.2">
      <c r="A24" s="9"/>
      <c r="B24" s="25" t="s">
        <v>111</v>
      </c>
      <c r="C24" s="10" t="s">
        <v>140</v>
      </c>
      <c r="D24" s="7"/>
      <c r="E24" s="11">
        <f t="shared" si="0"/>
        <v>0</v>
      </c>
      <c r="F24" s="11">
        <f t="shared" si="1"/>
        <v>0</v>
      </c>
      <c r="G24" s="11"/>
      <c r="H24" s="11"/>
      <c r="I24" s="32"/>
      <c r="J24" s="32"/>
      <c r="K24" s="32"/>
      <c r="L24" s="29">
        <f t="shared" si="2"/>
        <v>0</v>
      </c>
      <c r="M24" s="29"/>
      <c r="N24" s="169"/>
      <c r="O24" s="91"/>
      <c r="P24" s="27" t="s">
        <v>59</v>
      </c>
      <c r="Q24" s="27">
        <v>0</v>
      </c>
    </row>
    <row r="25" spans="1:21" x14ac:dyDescent="0.2">
      <c r="A25" s="9"/>
      <c r="B25" s="25" t="s">
        <v>27</v>
      </c>
      <c r="C25" s="10" t="s">
        <v>141</v>
      </c>
      <c r="D25" s="7">
        <v>308</v>
      </c>
      <c r="E25" s="11">
        <f t="shared" si="0"/>
        <v>154</v>
      </c>
      <c r="F25" s="11">
        <f t="shared" si="1"/>
        <v>12</v>
      </c>
      <c r="G25" s="11">
        <v>8.25</v>
      </c>
      <c r="H25" s="11">
        <v>0.75</v>
      </c>
      <c r="I25" s="32">
        <v>67.959999999999994</v>
      </c>
      <c r="J25" s="32">
        <v>223.38</v>
      </c>
      <c r="K25" s="32">
        <v>0</v>
      </c>
      <c r="L25" s="29">
        <f t="shared" si="2"/>
        <v>-116.33999999999999</v>
      </c>
      <c r="M25" s="29">
        <v>-116</v>
      </c>
      <c r="N25" s="169"/>
      <c r="O25" s="91"/>
      <c r="P25" s="27"/>
      <c r="Q25" s="27"/>
    </row>
    <row r="26" spans="1:21" x14ac:dyDescent="0.2">
      <c r="A26" s="9"/>
      <c r="B26" s="25" t="s">
        <v>142</v>
      </c>
      <c r="C26" s="10" t="s">
        <v>143</v>
      </c>
      <c r="D26" s="7">
        <v>126</v>
      </c>
      <c r="E26" s="11">
        <f t="shared" si="0"/>
        <v>31.5</v>
      </c>
      <c r="F26" s="11">
        <f t="shared" si="1"/>
        <v>2</v>
      </c>
      <c r="G26" s="11">
        <v>0</v>
      </c>
      <c r="H26" s="11">
        <v>3.5</v>
      </c>
      <c r="I26" s="32">
        <v>84.95</v>
      </c>
      <c r="J26" s="32">
        <v>0</v>
      </c>
      <c r="K26" s="32">
        <v>0</v>
      </c>
      <c r="L26" s="29">
        <f t="shared" si="2"/>
        <v>-47.95</v>
      </c>
      <c r="M26" s="29">
        <v>-48</v>
      </c>
      <c r="N26" s="169">
        <v>-1</v>
      </c>
      <c r="O26" s="91" t="s">
        <v>144</v>
      </c>
      <c r="P26" s="27"/>
      <c r="Q26" s="168"/>
    </row>
    <row r="27" spans="1:21" x14ac:dyDescent="0.2">
      <c r="A27" s="9"/>
      <c r="B27" s="25" t="s">
        <v>31</v>
      </c>
      <c r="C27" s="10" t="s">
        <v>50</v>
      </c>
      <c r="D27" s="7"/>
      <c r="E27" s="11">
        <f t="shared" si="0"/>
        <v>0</v>
      </c>
      <c r="F27" s="11">
        <f t="shared" si="1"/>
        <v>0</v>
      </c>
      <c r="G27" s="11"/>
      <c r="H27" s="11"/>
      <c r="I27" s="32"/>
      <c r="J27" s="32"/>
      <c r="K27" s="32"/>
      <c r="L27" s="29">
        <f t="shared" si="2"/>
        <v>0</v>
      </c>
      <c r="M27" s="29"/>
      <c r="N27" s="169"/>
      <c r="O27" s="91"/>
      <c r="R27" s="212"/>
      <c r="S27" s="213"/>
    </row>
    <row r="28" spans="1:21" x14ac:dyDescent="0.2">
      <c r="A28" s="9"/>
      <c r="B28" s="25" t="s">
        <v>145</v>
      </c>
      <c r="C28" s="10" t="s">
        <v>146</v>
      </c>
      <c r="D28" s="7"/>
      <c r="E28" s="11">
        <f t="shared" si="0"/>
        <v>0</v>
      </c>
      <c r="F28" s="11">
        <f t="shared" si="1"/>
        <v>0</v>
      </c>
      <c r="G28" s="11"/>
      <c r="H28" s="11"/>
      <c r="I28" s="32"/>
      <c r="J28" s="32"/>
      <c r="K28" s="32"/>
      <c r="L28" s="29">
        <f t="shared" si="2"/>
        <v>0</v>
      </c>
      <c r="M28" s="29"/>
      <c r="N28" s="169"/>
      <c r="O28" s="91"/>
      <c r="P28" s="27"/>
      <c r="Q28" s="27"/>
      <c r="S28" s="22"/>
      <c r="T28" s="27"/>
    </row>
    <row r="29" spans="1:21" x14ac:dyDescent="0.2">
      <c r="A29" s="9"/>
      <c r="B29" s="25" t="s">
        <v>147</v>
      </c>
      <c r="C29" s="10" t="s">
        <v>100</v>
      </c>
      <c r="D29" s="7"/>
      <c r="E29" s="11">
        <f t="shared" si="0"/>
        <v>0</v>
      </c>
      <c r="F29" s="11">
        <f t="shared" si="1"/>
        <v>0</v>
      </c>
      <c r="G29" s="11"/>
      <c r="H29" s="11"/>
      <c r="I29" s="32"/>
      <c r="J29" s="32"/>
      <c r="K29" s="32"/>
      <c r="L29" s="29">
        <f t="shared" si="2"/>
        <v>0</v>
      </c>
      <c r="M29" s="29"/>
      <c r="N29" s="169"/>
      <c r="O29" s="91"/>
      <c r="S29" s="22"/>
      <c r="T29" s="27"/>
    </row>
    <row r="30" spans="1:21" x14ac:dyDescent="0.2">
      <c r="A30" s="9"/>
      <c r="B30" s="25" t="s">
        <v>55</v>
      </c>
      <c r="C30" s="10" t="s">
        <v>148</v>
      </c>
      <c r="D30" s="7"/>
      <c r="E30" s="11">
        <f t="shared" si="0"/>
        <v>0</v>
      </c>
      <c r="F30" s="11">
        <f t="shared" si="1"/>
        <v>0</v>
      </c>
      <c r="G30" s="11"/>
      <c r="H30" s="11"/>
      <c r="I30" s="32"/>
      <c r="J30" s="32"/>
      <c r="K30" s="32"/>
      <c r="L30" s="29">
        <f t="shared" si="2"/>
        <v>0</v>
      </c>
      <c r="M30" s="29"/>
      <c r="N30" s="169"/>
      <c r="O30" s="91"/>
      <c r="P30" s="168"/>
      <c r="S30" s="22"/>
    </row>
    <row r="31" spans="1:21" x14ac:dyDescent="0.2">
      <c r="A31" s="9"/>
      <c r="B31" s="25" t="s">
        <v>93</v>
      </c>
      <c r="C31" s="10" t="s">
        <v>94</v>
      </c>
      <c r="D31" s="7"/>
      <c r="E31" s="11">
        <f t="shared" si="0"/>
        <v>0</v>
      </c>
      <c r="F31" s="11">
        <f t="shared" si="1"/>
        <v>0</v>
      </c>
      <c r="G31" s="11"/>
      <c r="H31" s="11"/>
      <c r="I31" s="32"/>
      <c r="J31" s="32"/>
      <c r="K31" s="32"/>
      <c r="L31" s="29">
        <f t="shared" si="2"/>
        <v>0</v>
      </c>
      <c r="M31" s="29"/>
      <c r="N31" s="169"/>
      <c r="O31" s="91"/>
      <c r="R31" s="18"/>
      <c r="S31" s="3"/>
    </row>
    <row r="32" spans="1:21" x14ac:dyDescent="0.2">
      <c r="A32" s="9"/>
      <c r="B32" s="25" t="s">
        <v>77</v>
      </c>
      <c r="C32" s="10" t="s">
        <v>149</v>
      </c>
      <c r="D32" s="7">
        <v>302</v>
      </c>
      <c r="E32" s="11">
        <f t="shared" si="0"/>
        <v>151</v>
      </c>
      <c r="F32" s="11">
        <f t="shared" si="1"/>
        <v>12</v>
      </c>
      <c r="G32" s="11">
        <v>2.75</v>
      </c>
      <c r="H32" s="11">
        <v>14.75</v>
      </c>
      <c r="I32" s="32">
        <v>124.5</v>
      </c>
      <c r="J32" s="32">
        <v>73.06</v>
      </c>
      <c r="K32" s="32">
        <v>0</v>
      </c>
      <c r="L32" s="29">
        <f t="shared" si="2"/>
        <v>-17.060000000000002</v>
      </c>
      <c r="M32" s="29">
        <v>-17</v>
      </c>
      <c r="N32" s="169"/>
      <c r="O32" s="91"/>
    </row>
    <row r="33" spans="1:19" x14ac:dyDescent="0.2">
      <c r="A33" s="9"/>
      <c r="B33" s="25" t="s">
        <v>150</v>
      </c>
      <c r="C33" s="10" t="s">
        <v>151</v>
      </c>
      <c r="D33" s="7"/>
      <c r="E33" s="11">
        <f t="shared" si="0"/>
        <v>0</v>
      </c>
      <c r="F33" s="11">
        <f t="shared" si="1"/>
        <v>0</v>
      </c>
      <c r="G33" s="11"/>
      <c r="H33" s="11"/>
      <c r="I33" s="32"/>
      <c r="J33" s="32"/>
      <c r="K33" s="32"/>
      <c r="L33" s="29">
        <f t="shared" si="2"/>
        <v>0</v>
      </c>
      <c r="M33" s="29"/>
      <c r="N33" s="169"/>
      <c r="O33" s="91"/>
    </row>
    <row r="34" spans="1:19" x14ac:dyDescent="0.2">
      <c r="A34" s="9"/>
      <c r="B34" s="25" t="s">
        <v>152</v>
      </c>
      <c r="C34" s="10" t="s">
        <v>153</v>
      </c>
      <c r="D34" s="7">
        <v>144</v>
      </c>
      <c r="E34" s="11">
        <f t="shared" si="0"/>
        <v>36</v>
      </c>
      <c r="F34" s="11">
        <f t="shared" si="1"/>
        <v>2</v>
      </c>
      <c r="G34" s="11">
        <v>2.75</v>
      </c>
      <c r="H34" s="11">
        <v>4.25</v>
      </c>
      <c r="I34" s="32">
        <v>97.96</v>
      </c>
      <c r="J34" s="32">
        <v>0</v>
      </c>
      <c r="K34" s="32">
        <v>0</v>
      </c>
      <c r="L34" s="29">
        <f t="shared" si="2"/>
        <v>-52.959999999999994</v>
      </c>
      <c r="M34" s="29">
        <v>-53</v>
      </c>
      <c r="N34" s="169"/>
      <c r="O34" s="91"/>
      <c r="R34" s="18"/>
      <c r="S34" s="1"/>
    </row>
    <row r="35" spans="1:19" x14ac:dyDescent="0.2">
      <c r="A35" s="9"/>
      <c r="B35" s="25" t="s">
        <v>73</v>
      </c>
      <c r="C35" s="10" t="s">
        <v>74</v>
      </c>
      <c r="D35" s="7"/>
      <c r="E35" s="11">
        <f t="shared" si="0"/>
        <v>0</v>
      </c>
      <c r="F35" s="11">
        <f t="shared" si="1"/>
        <v>0</v>
      </c>
      <c r="G35" s="11"/>
      <c r="H35" s="11"/>
      <c r="I35" s="32"/>
      <c r="J35" s="32"/>
      <c r="K35" s="32"/>
      <c r="L35" s="29">
        <f t="shared" si="2"/>
        <v>0</v>
      </c>
      <c r="M35" s="29"/>
      <c r="N35" s="169"/>
      <c r="O35" s="91"/>
      <c r="R35" s="18"/>
      <c r="S35" s="1"/>
    </row>
    <row r="36" spans="1:19" x14ac:dyDescent="0.2">
      <c r="A36" s="9"/>
      <c r="B36" s="25" t="s">
        <v>25</v>
      </c>
      <c r="C36" s="10" t="s">
        <v>26</v>
      </c>
      <c r="D36" s="7"/>
      <c r="E36" s="11">
        <f t="shared" si="0"/>
        <v>0</v>
      </c>
      <c r="F36" s="11">
        <f t="shared" si="1"/>
        <v>0</v>
      </c>
      <c r="G36" s="11"/>
      <c r="H36" s="11"/>
      <c r="I36" s="32"/>
      <c r="J36" s="32"/>
      <c r="K36" s="32"/>
      <c r="L36" s="29">
        <f t="shared" si="2"/>
        <v>0</v>
      </c>
      <c r="M36" s="29"/>
      <c r="N36" s="169"/>
      <c r="O36" s="91"/>
      <c r="R36" s="18"/>
      <c r="S36" s="1"/>
    </row>
    <row r="37" spans="1:19" x14ac:dyDescent="0.2">
      <c r="A37" s="102"/>
      <c r="B37" s="25"/>
      <c r="C37" s="10"/>
      <c r="D37" s="7"/>
      <c r="E37" s="11">
        <f t="shared" si="0"/>
        <v>0</v>
      </c>
      <c r="F37" s="11">
        <f t="shared" si="1"/>
        <v>0</v>
      </c>
      <c r="G37" s="11"/>
      <c r="H37" s="11"/>
      <c r="I37" s="32"/>
      <c r="J37" s="32"/>
      <c r="K37" s="32"/>
      <c r="L37" s="29">
        <f t="shared" si="2"/>
        <v>0</v>
      </c>
      <c r="M37" s="29"/>
      <c r="N37" s="169"/>
      <c r="O37" s="91"/>
    </row>
    <row r="38" spans="1:19" x14ac:dyDescent="0.2">
      <c r="A38" s="9"/>
      <c r="B38" s="25"/>
      <c r="C38" s="10"/>
      <c r="D38" s="7"/>
      <c r="E38" s="11">
        <f t="shared" si="0"/>
        <v>0</v>
      </c>
      <c r="F38" s="11">
        <f t="shared" si="1"/>
        <v>0</v>
      </c>
      <c r="G38" s="11"/>
      <c r="H38" s="11"/>
      <c r="I38" s="32"/>
      <c r="J38" s="32"/>
      <c r="K38" s="32"/>
      <c r="L38" s="29">
        <f t="shared" si="2"/>
        <v>0</v>
      </c>
      <c r="M38" s="29"/>
      <c r="N38" s="169"/>
      <c r="O38" s="91"/>
    </row>
    <row r="39" spans="1:19" x14ac:dyDescent="0.2">
      <c r="A39" s="9"/>
      <c r="B39" s="25"/>
      <c r="C39" s="10"/>
      <c r="D39" s="7"/>
      <c r="E39" s="11">
        <f t="shared" si="0"/>
        <v>0</v>
      </c>
      <c r="F39" s="11">
        <f t="shared" si="1"/>
        <v>0</v>
      </c>
      <c r="G39" s="11"/>
      <c r="H39" s="11"/>
      <c r="I39" s="32"/>
      <c r="J39" s="32"/>
      <c r="K39" s="32"/>
      <c r="L39" s="29">
        <f t="shared" si="2"/>
        <v>0</v>
      </c>
      <c r="M39" s="29"/>
      <c r="N39" s="169"/>
      <c r="O39" s="91"/>
    </row>
    <row r="40" spans="1:19" x14ac:dyDescent="0.2">
      <c r="A40" s="9"/>
      <c r="B40" s="25"/>
      <c r="C40" s="10"/>
      <c r="D40" s="7"/>
      <c r="E40" s="11">
        <f t="shared" si="0"/>
        <v>0</v>
      </c>
      <c r="F40" s="11">
        <f t="shared" si="1"/>
        <v>0</v>
      </c>
      <c r="G40" s="11"/>
      <c r="H40" s="11"/>
      <c r="I40" s="32"/>
      <c r="J40" s="32"/>
      <c r="K40" s="32"/>
      <c r="L40" s="29">
        <f t="shared" si="2"/>
        <v>0</v>
      </c>
      <c r="M40" s="29"/>
      <c r="N40" s="169"/>
      <c r="O40" s="91"/>
    </row>
    <row r="41" spans="1:19" x14ac:dyDescent="0.2">
      <c r="A41" s="9"/>
      <c r="B41" s="25"/>
      <c r="C41" s="10"/>
      <c r="D41" s="8"/>
      <c r="E41" s="11">
        <f t="shared" si="0"/>
        <v>0</v>
      </c>
      <c r="F41" s="11">
        <f t="shared" si="1"/>
        <v>0</v>
      </c>
      <c r="G41" s="11"/>
      <c r="H41" s="11"/>
      <c r="I41" s="33"/>
      <c r="J41" s="33"/>
      <c r="K41" s="33"/>
      <c r="L41" s="29">
        <f t="shared" si="2"/>
        <v>0</v>
      </c>
      <c r="M41" s="29"/>
      <c r="N41" s="171"/>
      <c r="O41" s="25"/>
    </row>
    <row r="42" spans="1:19" x14ac:dyDescent="0.2">
      <c r="A42" s="102"/>
      <c r="B42" s="25"/>
      <c r="C42" s="10"/>
      <c r="D42" s="7"/>
      <c r="E42" s="11">
        <f t="shared" si="0"/>
        <v>0</v>
      </c>
      <c r="F42" s="11">
        <f t="shared" si="1"/>
        <v>0</v>
      </c>
      <c r="G42" s="11"/>
      <c r="H42" s="11"/>
      <c r="I42" s="32"/>
      <c r="J42" s="32"/>
      <c r="K42" s="32"/>
      <c r="L42" s="29">
        <f t="shared" si="2"/>
        <v>0</v>
      </c>
      <c r="M42" s="29"/>
      <c r="N42" s="169"/>
      <c r="O42" s="91"/>
    </row>
    <row r="43" spans="1:19" x14ac:dyDescent="0.2">
      <c r="A43" s="9"/>
      <c r="B43" s="25"/>
      <c r="C43" s="10"/>
      <c r="D43" s="7"/>
      <c r="E43" s="11">
        <f t="shared" si="0"/>
        <v>0</v>
      </c>
      <c r="F43" s="11">
        <f t="shared" si="1"/>
        <v>0</v>
      </c>
      <c r="G43" s="11"/>
      <c r="H43" s="11"/>
      <c r="I43" s="32"/>
      <c r="J43" s="32"/>
      <c r="K43" s="32"/>
      <c r="L43" s="29">
        <f t="shared" si="2"/>
        <v>0</v>
      </c>
      <c r="M43" s="29"/>
      <c r="N43" s="169"/>
      <c r="O43" s="91"/>
    </row>
    <row r="44" spans="1:19" x14ac:dyDescent="0.2">
      <c r="A44" s="9"/>
      <c r="B44" s="25"/>
      <c r="C44" s="10"/>
      <c r="D44" s="7"/>
      <c r="E44" s="11">
        <f t="shared" si="0"/>
        <v>0</v>
      </c>
      <c r="F44" s="11">
        <f t="shared" si="1"/>
        <v>0</v>
      </c>
      <c r="G44" s="11"/>
      <c r="H44" s="11"/>
      <c r="I44" s="32"/>
      <c r="J44" s="32"/>
      <c r="K44" s="32"/>
      <c r="L44" s="29">
        <f t="shared" si="2"/>
        <v>0</v>
      </c>
      <c r="M44" s="29"/>
      <c r="N44" s="169"/>
      <c r="O44" s="91"/>
    </row>
    <row r="45" spans="1:19" x14ac:dyDescent="0.2">
      <c r="A45" s="9"/>
      <c r="B45" s="103"/>
      <c r="C45" s="10"/>
      <c r="D45" s="7"/>
      <c r="E45" s="11">
        <f t="shared" si="0"/>
        <v>0</v>
      </c>
      <c r="F45" s="11">
        <f t="shared" si="1"/>
        <v>0</v>
      </c>
      <c r="G45" s="11"/>
      <c r="H45" s="11"/>
      <c r="I45" s="32"/>
      <c r="J45" s="32"/>
      <c r="K45" s="32"/>
      <c r="L45" s="29">
        <f t="shared" si="2"/>
        <v>0</v>
      </c>
      <c r="M45" s="29"/>
      <c r="N45" s="169"/>
      <c r="O45" s="91"/>
    </row>
    <row r="46" spans="1:19" x14ac:dyDescent="0.2">
      <c r="A46" s="9"/>
      <c r="B46" s="25"/>
      <c r="C46" s="10"/>
      <c r="D46" s="7"/>
      <c r="E46" s="11">
        <f t="shared" si="0"/>
        <v>0</v>
      </c>
      <c r="F46" s="11">
        <f t="shared" si="1"/>
        <v>0</v>
      </c>
      <c r="G46" s="11"/>
      <c r="H46" s="11"/>
      <c r="I46" s="32"/>
      <c r="J46" s="32"/>
      <c r="K46" s="32"/>
      <c r="L46" s="29">
        <f t="shared" si="2"/>
        <v>0</v>
      </c>
      <c r="M46" s="29"/>
      <c r="N46" s="169"/>
      <c r="O46" s="91"/>
    </row>
    <row r="47" spans="1:19" x14ac:dyDescent="0.2">
      <c r="A47" s="9"/>
      <c r="B47" s="25"/>
      <c r="C47" s="10"/>
      <c r="D47" s="7"/>
      <c r="E47" s="11">
        <f t="shared" si="0"/>
        <v>0</v>
      </c>
      <c r="F47" s="11">
        <f t="shared" si="1"/>
        <v>0</v>
      </c>
      <c r="G47" s="11"/>
      <c r="H47" s="11"/>
      <c r="I47" s="32"/>
      <c r="J47" s="32"/>
      <c r="K47" s="32"/>
      <c r="L47" s="29">
        <f t="shared" si="2"/>
        <v>0</v>
      </c>
      <c r="M47" s="29"/>
      <c r="N47" s="169"/>
      <c r="O47" s="91"/>
    </row>
    <row r="48" spans="1:19" x14ac:dyDescent="0.2">
      <c r="D48" s="3">
        <f t="shared" ref="D48:N48" si="3">SUM(D4:D47)</f>
        <v>2789</v>
      </c>
      <c r="E48" s="21">
        <f t="shared" si="3"/>
        <v>1304</v>
      </c>
      <c r="F48" s="3">
        <f t="shared" si="3"/>
        <v>96</v>
      </c>
      <c r="G48" s="3">
        <f t="shared" si="3"/>
        <v>13.75</v>
      </c>
      <c r="H48" s="3">
        <f t="shared" si="3"/>
        <v>72.25</v>
      </c>
      <c r="I48" s="3">
        <f t="shared" si="3"/>
        <v>1037.3900000000001</v>
      </c>
      <c r="J48" s="3">
        <f t="shared" si="3"/>
        <v>559.21</v>
      </c>
      <c r="K48" s="3">
        <f t="shared" si="3"/>
        <v>0</v>
      </c>
      <c r="L48" s="3">
        <f t="shared" si="3"/>
        <v>-110.6</v>
      </c>
      <c r="M48" s="3">
        <f t="shared" si="3"/>
        <v>-134</v>
      </c>
      <c r="N48" s="3">
        <f t="shared" si="3"/>
        <v>1</v>
      </c>
      <c r="O48" s="174"/>
    </row>
  </sheetData>
  <mergeCells count="1">
    <mergeCell ref="R27:S27"/>
  </mergeCells>
  <conditionalFormatting sqref="C4:C33">
    <cfRule type="expression" dxfId="62" priority="1">
      <formula>$M4&lt;0</formula>
    </cfRule>
  </conditionalFormatting>
  <conditionalFormatting sqref="C35:C47">
    <cfRule type="expression" dxfId="61" priority="22">
      <formula>$M35&lt;0</formula>
    </cfRule>
  </conditionalFormatting>
  <conditionalFormatting sqref="M4:M47">
    <cfRule type="cellIs" dxfId="60" priority="23" operator="lessThan">
      <formula>0</formula>
    </cfRule>
  </conditionalFormatting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53"/>
  <sheetViews>
    <sheetView showGridLines="0" workbookViewId="0">
      <selection activeCell="N37" sqref="N37"/>
    </sheetView>
  </sheetViews>
  <sheetFormatPr baseColWidth="10" defaultColWidth="8.83203125" defaultRowHeight="15" x14ac:dyDescent="0.2"/>
  <cols>
    <col min="1" max="1" width="5.5" style="1" customWidth="1"/>
    <col min="2" max="2" width="12.1640625" style="26" customWidth="1"/>
    <col min="3" max="3" width="18.5" style="1" bestFit="1" customWidth="1"/>
    <col min="4" max="7" width="12.1640625" customWidth="1"/>
    <col min="8" max="8" width="12.1640625" style="22" customWidth="1"/>
    <col min="9" max="13" width="12.1640625" customWidth="1"/>
    <col min="14" max="14" width="12.5" bestFit="1" customWidth="1"/>
    <col min="15" max="15" width="17.5" style="105" bestFit="1" customWidth="1"/>
    <col min="16" max="16" width="6" style="168" customWidth="1"/>
    <col min="17" max="17" width="6" style="1" customWidth="1"/>
    <col min="18" max="18" width="12.5" bestFit="1" customWidth="1"/>
    <col min="19" max="19" width="10.83203125" customWidth="1"/>
  </cols>
  <sheetData>
    <row r="1" spans="1:19" x14ac:dyDescent="0.2">
      <c r="A1" s="4" t="s">
        <v>0</v>
      </c>
      <c r="B1" s="108">
        <f>'Mon AM'!B1+1</f>
        <v>46119</v>
      </c>
      <c r="C1" s="208"/>
      <c r="D1" s="4" t="s">
        <v>1</v>
      </c>
      <c r="E1" s="6" t="s">
        <v>2</v>
      </c>
    </row>
    <row r="3" spans="1:19" x14ac:dyDescent="0.2">
      <c r="A3" s="4"/>
      <c r="B3" s="23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101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28" t="s">
        <v>16</v>
      </c>
      <c r="P3" s="27"/>
      <c r="Q3" s="27"/>
    </row>
    <row r="4" spans="1:19" x14ac:dyDescent="0.2">
      <c r="A4" s="10"/>
      <c r="B4" s="24" t="s">
        <v>17</v>
      </c>
      <c r="C4" s="10" t="s">
        <v>18</v>
      </c>
      <c r="D4" s="11">
        <v>240</v>
      </c>
      <c r="E4" s="11">
        <f t="shared" ref="E4:E47" si="0">IF(AND(VALUE(B4)&lt;100, D4&gt;0),D4*0.5,D4*0.25)</f>
        <v>120</v>
      </c>
      <c r="F4" s="11">
        <f t="shared" ref="F4:F47" si="1">IF(P4="C",Q4,IF(AND(VALUE(B4)&lt;100, D4&gt;0),12,IF(D4&gt;0,2,0)))</f>
        <v>12</v>
      </c>
      <c r="G4" s="11">
        <v>0</v>
      </c>
      <c r="H4" s="11">
        <v>7</v>
      </c>
      <c r="I4" s="31">
        <v>58.5</v>
      </c>
      <c r="J4" s="31">
        <v>46</v>
      </c>
      <c r="K4" s="31">
        <v>0</v>
      </c>
      <c r="L4" s="29">
        <f t="shared" ref="L4:L47" si="2">(E4+F4+G4+H4)-I4-J4-K4</f>
        <v>34.5</v>
      </c>
      <c r="M4" s="29">
        <v>34</v>
      </c>
      <c r="N4" s="169">
        <v>0</v>
      </c>
      <c r="O4" s="172"/>
      <c r="P4" s="27"/>
      <c r="Q4" s="27">
        <v>6</v>
      </c>
      <c r="R4" s="15" t="s">
        <v>19</v>
      </c>
      <c r="S4" s="12">
        <f>D48</f>
        <v>7097.9400000000005</v>
      </c>
    </row>
    <row r="5" spans="1:19" x14ac:dyDescent="0.2">
      <c r="A5" s="9"/>
      <c r="B5" s="25" t="s">
        <v>20</v>
      </c>
      <c r="C5" s="10" t="s">
        <v>21</v>
      </c>
      <c r="D5" s="7">
        <v>391.94</v>
      </c>
      <c r="E5" s="11">
        <f t="shared" si="0"/>
        <v>195.97</v>
      </c>
      <c r="F5" s="11">
        <f t="shared" si="1"/>
        <v>12</v>
      </c>
      <c r="G5" s="11">
        <v>5.5</v>
      </c>
      <c r="H5" s="11">
        <v>7</v>
      </c>
      <c r="I5" s="32">
        <v>68.5</v>
      </c>
      <c r="J5" s="32">
        <v>226.34</v>
      </c>
      <c r="K5" s="32">
        <v>0</v>
      </c>
      <c r="L5" s="29">
        <f t="shared" si="2"/>
        <v>-74.37</v>
      </c>
      <c r="M5" s="29">
        <v>-74</v>
      </c>
      <c r="N5" s="169"/>
      <c r="O5" s="91"/>
      <c r="P5" s="27"/>
      <c r="Q5" s="27">
        <v>0</v>
      </c>
      <c r="R5" s="16" t="s">
        <v>22</v>
      </c>
      <c r="S5" s="13">
        <f>E48</f>
        <v>3210.7200000000003</v>
      </c>
    </row>
    <row r="6" spans="1:19" x14ac:dyDescent="0.2">
      <c r="A6" s="9"/>
      <c r="B6" s="25" t="s">
        <v>23</v>
      </c>
      <c r="C6" s="10" t="s">
        <v>24</v>
      </c>
      <c r="D6" s="7">
        <v>210</v>
      </c>
      <c r="E6" s="11">
        <f t="shared" si="0"/>
        <v>52.5</v>
      </c>
      <c r="F6" s="11">
        <f t="shared" si="1"/>
        <v>2</v>
      </c>
      <c r="G6" s="11">
        <v>0</v>
      </c>
      <c r="H6" s="11">
        <v>3.5</v>
      </c>
      <c r="I6" s="32">
        <v>60.5</v>
      </c>
      <c r="J6" s="32">
        <v>20</v>
      </c>
      <c r="K6" s="32">
        <v>0</v>
      </c>
      <c r="L6" s="29">
        <f t="shared" si="2"/>
        <v>-22.5</v>
      </c>
      <c r="M6" s="29">
        <v>-22</v>
      </c>
      <c r="N6" s="169"/>
      <c r="O6" s="91"/>
      <c r="P6" s="27"/>
      <c r="Q6" s="27">
        <v>6</v>
      </c>
      <c r="R6" s="16" t="s">
        <v>7</v>
      </c>
      <c r="S6" s="13">
        <f>F48</f>
        <v>254</v>
      </c>
    </row>
    <row r="7" spans="1:19" x14ac:dyDescent="0.2">
      <c r="A7" s="9"/>
      <c r="B7" s="25" t="s">
        <v>25</v>
      </c>
      <c r="C7" s="10" t="s">
        <v>26</v>
      </c>
      <c r="D7" s="7">
        <v>215</v>
      </c>
      <c r="E7" s="11">
        <f t="shared" si="0"/>
        <v>53.75</v>
      </c>
      <c r="F7" s="11">
        <f t="shared" si="1"/>
        <v>2</v>
      </c>
      <c r="G7" s="11">
        <v>0</v>
      </c>
      <c r="H7" s="11">
        <v>7</v>
      </c>
      <c r="I7" s="32">
        <v>142</v>
      </c>
      <c r="J7" s="32">
        <v>7</v>
      </c>
      <c r="K7" s="32">
        <v>0</v>
      </c>
      <c r="L7" s="29">
        <f t="shared" si="2"/>
        <v>-86.25</v>
      </c>
      <c r="M7" s="29">
        <v>-86</v>
      </c>
      <c r="N7" s="169"/>
      <c r="O7" s="91"/>
      <c r="P7" s="27"/>
      <c r="Q7" s="27">
        <v>6</v>
      </c>
      <c r="R7" s="16" t="s">
        <v>8</v>
      </c>
      <c r="S7" s="13">
        <f>G48</f>
        <v>71.5</v>
      </c>
    </row>
    <row r="8" spans="1:19" x14ac:dyDescent="0.2">
      <c r="A8" s="9"/>
      <c r="B8" s="25" t="s">
        <v>27</v>
      </c>
      <c r="C8" s="10" t="s">
        <v>28</v>
      </c>
      <c r="D8" s="7">
        <v>291</v>
      </c>
      <c r="E8" s="11">
        <f t="shared" si="0"/>
        <v>145.5</v>
      </c>
      <c r="F8" s="11">
        <f t="shared" si="1"/>
        <v>12</v>
      </c>
      <c r="G8" s="11">
        <v>0</v>
      </c>
      <c r="H8" s="11">
        <v>3.5</v>
      </c>
      <c r="I8" s="32">
        <v>157.5</v>
      </c>
      <c r="J8" s="32">
        <v>41.4</v>
      </c>
      <c r="K8" s="32">
        <v>0</v>
      </c>
      <c r="L8" s="29">
        <f t="shared" si="2"/>
        <v>-37.9</v>
      </c>
      <c r="M8" s="29">
        <v>-38</v>
      </c>
      <c r="N8" s="169"/>
      <c r="O8" s="91"/>
      <c r="P8" s="27"/>
      <c r="Q8" s="27">
        <v>6</v>
      </c>
      <c r="R8" s="16" t="s">
        <v>9</v>
      </c>
      <c r="S8" s="13">
        <f>H48</f>
        <v>124.25</v>
      </c>
    </row>
    <row r="9" spans="1:19" x14ac:dyDescent="0.2">
      <c r="A9" s="9"/>
      <c r="B9" s="25" t="s">
        <v>29</v>
      </c>
      <c r="C9" s="10" t="s">
        <v>30</v>
      </c>
      <c r="D9" s="7"/>
      <c r="E9" s="11">
        <f t="shared" si="0"/>
        <v>0</v>
      </c>
      <c r="F9" s="11">
        <f t="shared" si="1"/>
        <v>0</v>
      </c>
      <c r="G9" s="11"/>
      <c r="H9" s="11"/>
      <c r="I9" s="32"/>
      <c r="J9" s="32"/>
      <c r="K9" s="32"/>
      <c r="L9" s="29">
        <f t="shared" si="2"/>
        <v>0</v>
      </c>
      <c r="M9" s="29"/>
      <c r="N9" s="169"/>
      <c r="O9" s="91"/>
      <c r="P9" s="27"/>
      <c r="Q9" s="27">
        <v>6</v>
      </c>
      <c r="R9" s="16" t="s">
        <v>10</v>
      </c>
      <c r="S9" s="13">
        <f>I48</f>
        <v>2384.2400000000002</v>
      </c>
    </row>
    <row r="10" spans="1:19" x14ac:dyDescent="0.2">
      <c r="A10" s="9"/>
      <c r="B10" s="25" t="s">
        <v>52</v>
      </c>
      <c r="C10" s="10" t="s">
        <v>32</v>
      </c>
      <c r="D10" s="7">
        <v>193</v>
      </c>
      <c r="E10" s="11">
        <f t="shared" si="0"/>
        <v>96.5</v>
      </c>
      <c r="F10" s="11">
        <f t="shared" si="1"/>
        <v>12</v>
      </c>
      <c r="G10" s="11">
        <v>2.75</v>
      </c>
      <c r="H10" s="11">
        <v>0</v>
      </c>
      <c r="I10" s="32">
        <v>24.6</v>
      </c>
      <c r="J10" s="32">
        <v>76.209999999999994</v>
      </c>
      <c r="K10" s="32">
        <v>0</v>
      </c>
      <c r="L10" s="29">
        <f t="shared" si="2"/>
        <v>10.440000000000012</v>
      </c>
      <c r="M10" s="29">
        <v>10</v>
      </c>
      <c r="N10" s="169">
        <v>0</v>
      </c>
      <c r="O10" s="91"/>
      <c r="P10" s="27"/>
      <c r="Q10" s="27"/>
      <c r="R10" s="16" t="s">
        <v>11</v>
      </c>
      <c r="S10" s="13">
        <f>J48</f>
        <v>1122.0900000000001</v>
      </c>
    </row>
    <row r="11" spans="1:19" x14ac:dyDescent="0.2">
      <c r="A11" s="9"/>
      <c r="B11" s="25" t="s">
        <v>33</v>
      </c>
      <c r="C11" s="10" t="s">
        <v>34</v>
      </c>
      <c r="D11" s="7">
        <v>158</v>
      </c>
      <c r="E11" s="11">
        <f t="shared" si="0"/>
        <v>39.5</v>
      </c>
      <c r="F11" s="11">
        <f t="shared" si="1"/>
        <v>2</v>
      </c>
      <c r="G11" s="11">
        <v>0</v>
      </c>
      <c r="H11" s="11">
        <v>0</v>
      </c>
      <c r="I11" s="32">
        <v>57</v>
      </c>
      <c r="J11" s="32">
        <v>0</v>
      </c>
      <c r="K11" s="32">
        <v>0</v>
      </c>
      <c r="L11" s="29">
        <f t="shared" si="2"/>
        <v>-15.5</v>
      </c>
      <c r="M11" s="188">
        <v>-15</v>
      </c>
      <c r="N11" s="169">
        <v>-13</v>
      </c>
      <c r="O11" s="91" t="s">
        <v>154</v>
      </c>
      <c r="P11" s="27"/>
      <c r="Q11" s="27"/>
      <c r="R11" s="16" t="s">
        <v>12</v>
      </c>
      <c r="S11" s="13">
        <f>K48</f>
        <v>17</v>
      </c>
    </row>
    <row r="12" spans="1:19" x14ac:dyDescent="0.2">
      <c r="A12" s="9"/>
      <c r="B12" s="25" t="s">
        <v>35</v>
      </c>
      <c r="C12" s="10" t="s">
        <v>36</v>
      </c>
      <c r="D12" s="7">
        <v>254</v>
      </c>
      <c r="E12" s="11">
        <f t="shared" si="0"/>
        <v>63.5</v>
      </c>
      <c r="F12" s="11">
        <f t="shared" si="1"/>
        <v>2</v>
      </c>
      <c r="G12" s="11">
        <v>5.5</v>
      </c>
      <c r="H12" s="11">
        <v>8.5</v>
      </c>
      <c r="I12" s="32">
        <v>129.46</v>
      </c>
      <c r="J12" s="32">
        <v>63.86</v>
      </c>
      <c r="K12" s="32">
        <v>0</v>
      </c>
      <c r="L12" s="169">
        <f t="shared" si="2"/>
        <v>-113.82000000000001</v>
      </c>
      <c r="M12" s="8">
        <v>-114</v>
      </c>
      <c r="N12" s="187"/>
      <c r="O12" s="91"/>
      <c r="P12" s="27"/>
      <c r="Q12" s="27">
        <v>0</v>
      </c>
      <c r="R12" s="17" t="s">
        <v>37</v>
      </c>
      <c r="S12" s="14">
        <f>N48</f>
        <v>-20</v>
      </c>
    </row>
    <row r="13" spans="1:19" x14ac:dyDescent="0.2">
      <c r="A13" s="9"/>
      <c r="B13" s="25" t="s">
        <v>105</v>
      </c>
      <c r="C13" s="10" t="s">
        <v>106</v>
      </c>
      <c r="D13" s="7"/>
      <c r="E13" s="11">
        <f t="shared" si="0"/>
        <v>0</v>
      </c>
      <c r="F13" s="11">
        <f t="shared" si="1"/>
        <v>0</v>
      </c>
      <c r="G13" s="11"/>
      <c r="H13" s="11"/>
      <c r="I13" s="32"/>
      <c r="J13" s="32"/>
      <c r="K13" s="32"/>
      <c r="L13" s="169">
        <f t="shared" si="2"/>
        <v>0</v>
      </c>
      <c r="M13" s="186"/>
      <c r="N13" s="187"/>
      <c r="O13" s="91"/>
      <c r="P13" s="27"/>
      <c r="Q13" s="27">
        <v>6</v>
      </c>
      <c r="R13" s="18"/>
      <c r="S13" s="30">
        <f>S5+S6+S7-S9-S10-S11-S12</f>
        <v>32.889999999999873</v>
      </c>
    </row>
    <row r="14" spans="1:19" x14ac:dyDescent="0.2">
      <c r="A14" s="9"/>
      <c r="B14" s="25" t="s">
        <v>40</v>
      </c>
      <c r="C14" s="10" t="s">
        <v>41</v>
      </c>
      <c r="D14" s="7"/>
      <c r="E14" s="11">
        <f t="shared" si="0"/>
        <v>0</v>
      </c>
      <c r="F14" s="11">
        <f t="shared" si="1"/>
        <v>0</v>
      </c>
      <c r="G14" s="11"/>
      <c r="H14" s="11"/>
      <c r="I14" s="32"/>
      <c r="J14" s="32"/>
      <c r="K14" s="32"/>
      <c r="L14" s="169">
        <f t="shared" si="2"/>
        <v>0</v>
      </c>
      <c r="M14" s="29"/>
      <c r="N14" s="169"/>
      <c r="O14" s="91"/>
      <c r="P14" s="27"/>
      <c r="Q14" s="27">
        <v>0</v>
      </c>
      <c r="R14" s="19" t="s">
        <v>42</v>
      </c>
      <c r="S14" s="20">
        <f>M48</f>
        <v>136</v>
      </c>
    </row>
    <row r="15" spans="1:19" x14ac:dyDescent="0.2">
      <c r="A15" s="9"/>
      <c r="B15" s="25" t="s">
        <v>43</v>
      </c>
      <c r="C15" s="10" t="s">
        <v>44</v>
      </c>
      <c r="D15" s="7">
        <v>320</v>
      </c>
      <c r="E15" s="11">
        <f t="shared" si="0"/>
        <v>160</v>
      </c>
      <c r="F15" s="11">
        <f t="shared" si="1"/>
        <v>12</v>
      </c>
      <c r="G15" s="11">
        <v>0</v>
      </c>
      <c r="H15" s="11">
        <v>7</v>
      </c>
      <c r="I15" s="32">
        <v>94.5</v>
      </c>
      <c r="J15" s="32">
        <v>0</v>
      </c>
      <c r="K15" s="32">
        <v>0</v>
      </c>
      <c r="L15" s="29">
        <f t="shared" si="2"/>
        <v>84.5</v>
      </c>
      <c r="M15" s="29">
        <v>84</v>
      </c>
      <c r="N15" s="169">
        <v>0</v>
      </c>
      <c r="O15" s="91"/>
      <c r="P15" s="27"/>
      <c r="Q15" s="27"/>
    </row>
    <row r="16" spans="1:19" x14ac:dyDescent="0.2">
      <c r="A16" s="9"/>
      <c r="B16" s="25" t="s">
        <v>45</v>
      </c>
      <c r="C16" s="10" t="s">
        <v>46</v>
      </c>
      <c r="D16" s="7">
        <v>267</v>
      </c>
      <c r="E16" s="11">
        <f t="shared" si="0"/>
        <v>133.5</v>
      </c>
      <c r="F16" s="11">
        <f t="shared" si="1"/>
        <v>12</v>
      </c>
      <c r="G16" s="11">
        <v>5.5</v>
      </c>
      <c r="H16" s="11">
        <v>5</v>
      </c>
      <c r="I16" s="32">
        <v>7</v>
      </c>
      <c r="J16" s="32">
        <v>43.4</v>
      </c>
      <c r="K16" s="32">
        <v>0</v>
      </c>
      <c r="L16" s="29">
        <f t="shared" si="2"/>
        <v>105.6</v>
      </c>
      <c r="M16" s="29">
        <v>106</v>
      </c>
      <c r="N16" s="169"/>
      <c r="O16" s="91"/>
      <c r="P16" s="27"/>
      <c r="Q16" s="27">
        <v>0</v>
      </c>
    </row>
    <row r="17" spans="1:20" x14ac:dyDescent="0.2">
      <c r="A17" s="9"/>
      <c r="B17" s="25" t="s">
        <v>47</v>
      </c>
      <c r="C17" s="10" t="s">
        <v>48</v>
      </c>
      <c r="D17" s="7"/>
      <c r="E17" s="11">
        <f t="shared" si="0"/>
        <v>0</v>
      </c>
      <c r="F17" s="11">
        <f t="shared" si="1"/>
        <v>0</v>
      </c>
      <c r="G17" s="11"/>
      <c r="H17" s="11"/>
      <c r="I17" s="32"/>
      <c r="J17" s="32"/>
      <c r="K17" s="32"/>
      <c r="L17" s="29">
        <f t="shared" si="2"/>
        <v>0</v>
      </c>
      <c r="M17" s="29"/>
      <c r="N17" s="169"/>
      <c r="O17" s="91"/>
      <c r="P17" s="27"/>
      <c r="Q17" s="27">
        <v>6</v>
      </c>
      <c r="R17" s="34"/>
      <c r="S17" s="34"/>
      <c r="T17" s="34"/>
    </row>
    <row r="18" spans="1:20" x14ac:dyDescent="0.2">
      <c r="A18" s="9"/>
      <c r="B18" s="25" t="s">
        <v>49</v>
      </c>
      <c r="C18" s="10" t="s">
        <v>50</v>
      </c>
      <c r="D18" s="7"/>
      <c r="E18" s="11">
        <f t="shared" si="0"/>
        <v>0</v>
      </c>
      <c r="F18" s="11">
        <f t="shared" si="1"/>
        <v>0</v>
      </c>
      <c r="G18" s="11"/>
      <c r="H18" s="11"/>
      <c r="I18" s="32"/>
      <c r="J18" s="32"/>
      <c r="K18" s="32"/>
      <c r="L18" s="29">
        <f t="shared" si="2"/>
        <v>0</v>
      </c>
      <c r="M18" s="29"/>
      <c r="N18" s="169"/>
      <c r="O18" s="91"/>
      <c r="P18" s="27"/>
      <c r="Q18" s="27">
        <v>0</v>
      </c>
      <c r="R18" s="15" t="s">
        <v>51</v>
      </c>
      <c r="S18" s="95">
        <f t="array" ref="S18">SUMPRODUCT((VALUE(B4:B47)&lt;100)*(D4:D47&gt;0))</f>
        <v>20</v>
      </c>
      <c r="T18" s="35"/>
    </row>
    <row r="19" spans="1:20" x14ac:dyDescent="0.2">
      <c r="A19" s="9"/>
      <c r="B19" s="25" t="s">
        <v>27</v>
      </c>
      <c r="C19" s="10" t="s">
        <v>53</v>
      </c>
      <c r="D19" s="7"/>
      <c r="E19" s="11">
        <f t="shared" si="0"/>
        <v>0</v>
      </c>
      <c r="F19" s="11">
        <f t="shared" si="1"/>
        <v>0</v>
      </c>
      <c r="G19" s="11"/>
      <c r="H19" s="11"/>
      <c r="I19" s="32"/>
      <c r="J19" s="32"/>
      <c r="K19" s="32"/>
      <c r="L19" s="29">
        <f t="shared" si="2"/>
        <v>0</v>
      </c>
      <c r="M19" s="29"/>
      <c r="N19" s="170"/>
      <c r="O19" s="173"/>
      <c r="P19" s="27"/>
      <c r="Q19" s="27">
        <v>6</v>
      </c>
      <c r="R19" s="16" t="s">
        <v>54</v>
      </c>
      <c r="S19" s="96">
        <f t="array" ref="S19">SUMPRODUCT((VALUE(B4:B47)&gt;100)*(D4:D47&gt;0))</f>
        <v>7</v>
      </c>
    </row>
    <row r="20" spans="1:20" x14ac:dyDescent="0.2">
      <c r="A20" s="9"/>
      <c r="B20" s="25" t="s">
        <v>55</v>
      </c>
      <c r="C20" s="10" t="s">
        <v>56</v>
      </c>
      <c r="D20" s="7">
        <v>285</v>
      </c>
      <c r="E20" s="11">
        <f t="shared" si="0"/>
        <v>142.5</v>
      </c>
      <c r="F20" s="11">
        <f t="shared" si="1"/>
        <v>12</v>
      </c>
      <c r="G20" s="11">
        <v>2.75</v>
      </c>
      <c r="H20" s="11">
        <v>4.25</v>
      </c>
      <c r="I20" s="32">
        <v>101.1</v>
      </c>
      <c r="J20" s="32">
        <v>0</v>
      </c>
      <c r="K20" s="32">
        <v>0</v>
      </c>
      <c r="L20" s="29">
        <f t="shared" si="2"/>
        <v>60.400000000000006</v>
      </c>
      <c r="M20" s="29">
        <v>60</v>
      </c>
      <c r="N20" s="169"/>
      <c r="O20" s="91"/>
      <c r="P20" s="27"/>
      <c r="Q20" s="27">
        <v>6</v>
      </c>
      <c r="R20" s="17" t="s">
        <v>57</v>
      </c>
      <c r="S20" s="97">
        <f>S18+S19</f>
        <v>27</v>
      </c>
    </row>
    <row r="21" spans="1:20" x14ac:dyDescent="0.2">
      <c r="A21" s="9"/>
      <c r="B21" s="25" t="s">
        <v>27</v>
      </c>
      <c r="C21" s="10" t="s">
        <v>58</v>
      </c>
      <c r="D21" s="7"/>
      <c r="E21" s="11">
        <f t="shared" si="0"/>
        <v>0</v>
      </c>
      <c r="F21" s="11">
        <f t="shared" si="1"/>
        <v>0</v>
      </c>
      <c r="G21" s="11"/>
      <c r="H21" s="11"/>
      <c r="I21" s="32"/>
      <c r="J21" s="32"/>
      <c r="K21" s="32"/>
      <c r="L21" s="29">
        <f t="shared" si="2"/>
        <v>0</v>
      </c>
      <c r="M21" s="29"/>
      <c r="N21" s="169"/>
      <c r="O21" s="91"/>
      <c r="P21" s="27"/>
      <c r="Q21" s="27">
        <v>2</v>
      </c>
    </row>
    <row r="22" spans="1:20" x14ac:dyDescent="0.2">
      <c r="A22" s="9"/>
      <c r="B22" s="25" t="s">
        <v>49</v>
      </c>
      <c r="C22" s="10" t="s">
        <v>60</v>
      </c>
      <c r="D22" s="7">
        <v>200</v>
      </c>
      <c r="E22" s="11">
        <f t="shared" si="0"/>
        <v>100</v>
      </c>
      <c r="F22" s="11">
        <f t="shared" si="1"/>
        <v>12</v>
      </c>
      <c r="G22" s="11">
        <v>0</v>
      </c>
      <c r="H22" s="11">
        <v>0</v>
      </c>
      <c r="I22" s="32">
        <v>8</v>
      </c>
      <c r="J22" s="32">
        <v>28.75</v>
      </c>
      <c r="K22" s="32">
        <v>0</v>
      </c>
      <c r="L22" s="29">
        <f t="shared" si="2"/>
        <v>75.25</v>
      </c>
      <c r="M22" s="29">
        <v>75</v>
      </c>
      <c r="N22" s="169"/>
      <c r="O22" s="91"/>
      <c r="P22" s="27"/>
      <c r="Q22" s="27">
        <v>6</v>
      </c>
    </row>
    <row r="23" spans="1:20" x14ac:dyDescent="0.2">
      <c r="A23" s="9"/>
      <c r="B23" s="103" t="s">
        <v>61</v>
      </c>
      <c r="C23" s="10" t="s">
        <v>62</v>
      </c>
      <c r="D23" s="7">
        <v>128</v>
      </c>
      <c r="E23" s="11">
        <f t="shared" si="0"/>
        <v>32</v>
      </c>
      <c r="F23" s="11">
        <f t="shared" si="1"/>
        <v>2</v>
      </c>
      <c r="G23" s="11">
        <v>0</v>
      </c>
      <c r="H23" s="11">
        <v>0</v>
      </c>
      <c r="I23" s="32">
        <v>8.0500000000000007</v>
      </c>
      <c r="J23" s="32">
        <v>28.75</v>
      </c>
      <c r="K23" s="32">
        <v>0</v>
      </c>
      <c r="L23" s="29">
        <f t="shared" si="2"/>
        <v>-2.8000000000000007</v>
      </c>
      <c r="M23" s="29">
        <v>-3</v>
      </c>
      <c r="N23" s="169"/>
      <c r="O23" s="91"/>
      <c r="P23" s="27"/>
      <c r="Q23" s="27">
        <v>6</v>
      </c>
    </row>
    <row r="24" spans="1:20" x14ac:dyDescent="0.2">
      <c r="A24" s="102"/>
      <c r="B24" s="25" t="s">
        <v>63</v>
      </c>
      <c r="C24" s="10" t="s">
        <v>64</v>
      </c>
      <c r="D24" s="7">
        <v>407</v>
      </c>
      <c r="E24" s="11">
        <f t="shared" si="0"/>
        <v>203.5</v>
      </c>
      <c r="F24" s="11">
        <f t="shared" si="1"/>
        <v>12</v>
      </c>
      <c r="G24" s="11">
        <v>5.5</v>
      </c>
      <c r="H24" s="11">
        <v>12</v>
      </c>
      <c r="I24" s="32">
        <v>106.55</v>
      </c>
      <c r="J24" s="32">
        <v>0</v>
      </c>
      <c r="K24" s="32">
        <v>0</v>
      </c>
      <c r="L24" s="29">
        <f t="shared" si="2"/>
        <v>126.45</v>
      </c>
      <c r="M24" s="29">
        <v>126</v>
      </c>
      <c r="N24" s="169"/>
      <c r="O24" s="91"/>
      <c r="P24" s="27"/>
      <c r="Q24" s="27"/>
    </row>
    <row r="25" spans="1:20" x14ac:dyDescent="0.2">
      <c r="A25" s="9"/>
      <c r="B25" s="25" t="s">
        <v>65</v>
      </c>
      <c r="C25" s="10" t="s">
        <v>66</v>
      </c>
      <c r="D25" s="7">
        <v>296</v>
      </c>
      <c r="E25" s="11">
        <f t="shared" si="0"/>
        <v>148</v>
      </c>
      <c r="F25" s="11">
        <f t="shared" si="1"/>
        <v>12</v>
      </c>
      <c r="G25" s="11">
        <v>5.5</v>
      </c>
      <c r="H25" s="11">
        <v>1.5</v>
      </c>
      <c r="I25" s="32">
        <v>61.56</v>
      </c>
      <c r="J25" s="32">
        <v>51.75</v>
      </c>
      <c r="K25" s="32">
        <v>0</v>
      </c>
      <c r="L25" s="29">
        <f t="shared" si="2"/>
        <v>53.69</v>
      </c>
      <c r="M25" s="29">
        <v>54</v>
      </c>
      <c r="N25" s="169"/>
      <c r="O25" s="91"/>
      <c r="P25" s="27"/>
      <c r="Q25" s="27">
        <v>0</v>
      </c>
    </row>
    <row r="26" spans="1:20" x14ac:dyDescent="0.2">
      <c r="A26" s="9"/>
      <c r="B26" s="25" t="s">
        <v>55</v>
      </c>
      <c r="C26" s="10" t="s">
        <v>107</v>
      </c>
      <c r="D26" s="7">
        <v>222</v>
      </c>
      <c r="E26" s="11">
        <f t="shared" si="0"/>
        <v>111</v>
      </c>
      <c r="F26" s="11">
        <f t="shared" si="1"/>
        <v>12</v>
      </c>
      <c r="G26" s="11">
        <v>2.75</v>
      </c>
      <c r="H26" s="11">
        <v>7.75</v>
      </c>
      <c r="I26" s="32">
        <v>134.96</v>
      </c>
      <c r="J26" s="32">
        <v>10.35</v>
      </c>
      <c r="K26" s="32">
        <v>0</v>
      </c>
      <c r="L26" s="29">
        <f t="shared" si="2"/>
        <v>-11.810000000000008</v>
      </c>
      <c r="M26" s="29">
        <v>-12</v>
      </c>
      <c r="N26" s="169">
        <v>-7</v>
      </c>
      <c r="O26" s="91" t="s">
        <v>155</v>
      </c>
      <c r="P26" s="27"/>
      <c r="Q26" s="27"/>
      <c r="R26" s="212"/>
      <c r="S26" s="213"/>
    </row>
    <row r="27" spans="1:20" x14ac:dyDescent="0.2">
      <c r="A27" s="9"/>
      <c r="B27" s="25" t="s">
        <v>55</v>
      </c>
      <c r="C27" s="10" t="s">
        <v>68</v>
      </c>
      <c r="D27" s="7">
        <v>312</v>
      </c>
      <c r="E27" s="11">
        <f t="shared" si="0"/>
        <v>156</v>
      </c>
      <c r="F27" s="11">
        <f t="shared" si="1"/>
        <v>12</v>
      </c>
      <c r="G27" s="11">
        <v>5.5</v>
      </c>
      <c r="H27" s="11">
        <v>1.5</v>
      </c>
      <c r="I27" s="32">
        <v>98.96</v>
      </c>
      <c r="J27" s="32">
        <v>149.47</v>
      </c>
      <c r="K27" s="32">
        <v>0</v>
      </c>
      <c r="L27" s="29">
        <f t="shared" si="2"/>
        <v>-73.429999999999993</v>
      </c>
      <c r="M27" s="29">
        <v>-73</v>
      </c>
      <c r="N27" s="169"/>
      <c r="O27" s="91"/>
      <c r="P27" s="27"/>
      <c r="Q27" s="27">
        <v>0</v>
      </c>
      <c r="S27" s="22"/>
      <c r="T27" s="27">
        <v>5</v>
      </c>
    </row>
    <row r="28" spans="1:20" x14ac:dyDescent="0.2">
      <c r="A28" s="9"/>
      <c r="B28" s="25" t="s">
        <v>69</v>
      </c>
      <c r="C28" s="10" t="s">
        <v>70</v>
      </c>
      <c r="D28" s="7"/>
      <c r="E28" s="11">
        <f t="shared" si="0"/>
        <v>0</v>
      </c>
      <c r="F28" s="11">
        <f t="shared" si="1"/>
        <v>0</v>
      </c>
      <c r="G28" s="11"/>
      <c r="H28" s="11"/>
      <c r="I28" s="32"/>
      <c r="J28" s="32"/>
      <c r="K28" s="32"/>
      <c r="L28" s="29">
        <f t="shared" si="2"/>
        <v>0</v>
      </c>
      <c r="M28" s="29"/>
      <c r="N28" s="169"/>
      <c r="O28" s="91"/>
      <c r="P28" s="27"/>
      <c r="Q28" s="27">
        <v>6</v>
      </c>
      <c r="S28" s="22"/>
      <c r="T28" s="27">
        <v>4</v>
      </c>
    </row>
    <row r="29" spans="1:20" x14ac:dyDescent="0.2">
      <c r="A29" s="9"/>
      <c r="B29" s="25" t="s">
        <v>71</v>
      </c>
      <c r="C29" s="10" t="s">
        <v>72</v>
      </c>
      <c r="D29" s="7">
        <v>229</v>
      </c>
      <c r="E29" s="11">
        <f t="shared" si="0"/>
        <v>57.25</v>
      </c>
      <c r="F29" s="11">
        <f t="shared" si="1"/>
        <v>2</v>
      </c>
      <c r="G29" s="11">
        <v>0</v>
      </c>
      <c r="H29" s="11">
        <v>10.5</v>
      </c>
      <c r="I29" s="32">
        <v>8.4</v>
      </c>
      <c r="J29" s="32">
        <v>61</v>
      </c>
      <c r="K29" s="32">
        <v>0</v>
      </c>
      <c r="L29" s="29">
        <f t="shared" si="2"/>
        <v>0.35000000000000142</v>
      </c>
      <c r="M29" s="29">
        <v>0</v>
      </c>
      <c r="N29" s="169"/>
      <c r="O29" s="91"/>
      <c r="P29" s="27"/>
      <c r="Q29" s="27">
        <v>6</v>
      </c>
      <c r="S29" s="22"/>
    </row>
    <row r="30" spans="1:20" x14ac:dyDescent="0.2">
      <c r="A30" s="9"/>
      <c r="B30" s="25" t="s">
        <v>73</v>
      </c>
      <c r="C30" s="10" t="s">
        <v>74</v>
      </c>
      <c r="D30" s="7"/>
      <c r="E30" s="11">
        <f t="shared" si="0"/>
        <v>0</v>
      </c>
      <c r="F30" s="11">
        <f t="shared" si="1"/>
        <v>0</v>
      </c>
      <c r="G30" s="11"/>
      <c r="H30" s="11"/>
      <c r="I30" s="32"/>
      <c r="J30" s="32"/>
      <c r="K30" s="32"/>
      <c r="L30" s="29">
        <f t="shared" si="2"/>
        <v>0</v>
      </c>
      <c r="M30" s="29"/>
      <c r="N30" s="169"/>
      <c r="O30" s="91"/>
      <c r="P30" s="27"/>
      <c r="Q30" s="27">
        <v>6</v>
      </c>
      <c r="R30" s="18"/>
      <c r="S30" s="3"/>
    </row>
    <row r="31" spans="1:20" x14ac:dyDescent="0.2">
      <c r="A31" s="9"/>
      <c r="B31" s="25" t="s">
        <v>75</v>
      </c>
      <c r="C31" s="10" t="s">
        <v>76</v>
      </c>
      <c r="D31" s="7">
        <v>283</v>
      </c>
      <c r="E31" s="11">
        <f t="shared" si="0"/>
        <v>141.5</v>
      </c>
      <c r="F31" s="11">
        <f t="shared" si="1"/>
        <v>12</v>
      </c>
      <c r="G31" s="11">
        <v>5.5</v>
      </c>
      <c r="H31" s="11">
        <v>5</v>
      </c>
      <c r="I31" s="32">
        <v>86.92</v>
      </c>
      <c r="J31" s="32">
        <v>63.86</v>
      </c>
      <c r="K31" s="32">
        <v>0</v>
      </c>
      <c r="L31" s="29">
        <f t="shared" si="2"/>
        <v>13.219999999999999</v>
      </c>
      <c r="M31" s="29">
        <v>13</v>
      </c>
      <c r="N31" s="169"/>
      <c r="O31" s="91"/>
      <c r="P31" s="27"/>
      <c r="Q31" s="27"/>
    </row>
    <row r="32" spans="1:20" x14ac:dyDescent="0.2">
      <c r="A32" s="9"/>
      <c r="B32" s="25" t="s">
        <v>77</v>
      </c>
      <c r="C32" s="10" t="s">
        <v>78</v>
      </c>
      <c r="D32" s="7"/>
      <c r="E32" s="11">
        <f t="shared" si="0"/>
        <v>0</v>
      </c>
      <c r="F32" s="11">
        <f t="shared" si="1"/>
        <v>0</v>
      </c>
      <c r="G32" s="11"/>
      <c r="H32" s="11"/>
      <c r="I32" s="32"/>
      <c r="J32" s="32"/>
      <c r="K32" s="32"/>
      <c r="L32" s="29">
        <f t="shared" si="2"/>
        <v>0</v>
      </c>
      <c r="M32" s="29"/>
      <c r="N32" s="169"/>
      <c r="O32" s="91"/>
      <c r="P32" s="27"/>
      <c r="Q32" s="27">
        <v>6</v>
      </c>
    </row>
    <row r="33" spans="1:17" x14ac:dyDescent="0.2">
      <c r="A33" s="9"/>
      <c r="B33" s="25" t="s">
        <v>31</v>
      </c>
      <c r="C33" s="10" t="s">
        <v>79</v>
      </c>
      <c r="D33" s="7"/>
      <c r="E33" s="11">
        <f t="shared" si="0"/>
        <v>0</v>
      </c>
      <c r="F33" s="11">
        <f t="shared" si="1"/>
        <v>0</v>
      </c>
      <c r="G33" s="11"/>
      <c r="H33" s="11"/>
      <c r="I33" s="32"/>
      <c r="J33" s="32"/>
      <c r="K33" s="32"/>
      <c r="L33" s="29">
        <f t="shared" si="2"/>
        <v>0</v>
      </c>
      <c r="M33" s="29"/>
      <c r="N33" s="169"/>
      <c r="O33" s="91"/>
      <c r="P33" s="27"/>
      <c r="Q33" s="27">
        <v>6</v>
      </c>
    </row>
    <row r="34" spans="1:17" x14ac:dyDescent="0.2">
      <c r="A34" s="9"/>
      <c r="B34" s="25" t="s">
        <v>43</v>
      </c>
      <c r="C34" s="10" t="s">
        <v>80</v>
      </c>
      <c r="D34" s="7">
        <v>312</v>
      </c>
      <c r="E34" s="11">
        <f t="shared" si="0"/>
        <v>156</v>
      </c>
      <c r="F34" s="11">
        <f t="shared" si="1"/>
        <v>12</v>
      </c>
      <c r="G34" s="11">
        <v>5.5</v>
      </c>
      <c r="H34" s="11">
        <v>1.5</v>
      </c>
      <c r="I34" s="32">
        <v>123.88</v>
      </c>
      <c r="J34" s="32">
        <v>75</v>
      </c>
      <c r="K34" s="32">
        <v>0</v>
      </c>
      <c r="L34" s="29">
        <f t="shared" si="2"/>
        <v>-23.879999999999995</v>
      </c>
      <c r="M34" s="29">
        <v>-24</v>
      </c>
      <c r="N34" s="169"/>
      <c r="O34" s="91"/>
      <c r="P34" s="27"/>
      <c r="Q34" s="27"/>
    </row>
    <row r="35" spans="1:17" x14ac:dyDescent="0.2">
      <c r="A35" s="9"/>
      <c r="B35" s="25" t="s">
        <v>27</v>
      </c>
      <c r="C35" s="10" t="s">
        <v>81</v>
      </c>
      <c r="D35" s="7">
        <v>319</v>
      </c>
      <c r="E35" s="11">
        <f t="shared" si="0"/>
        <v>159.5</v>
      </c>
      <c r="F35" s="11">
        <f t="shared" si="1"/>
        <v>12</v>
      </c>
      <c r="G35" s="11">
        <v>2.75</v>
      </c>
      <c r="H35" s="11">
        <v>0</v>
      </c>
      <c r="I35" s="32">
        <v>270.67</v>
      </c>
      <c r="J35" s="32">
        <v>17</v>
      </c>
      <c r="K35" s="32">
        <v>0</v>
      </c>
      <c r="L35" s="29">
        <f t="shared" si="2"/>
        <v>-113.42000000000002</v>
      </c>
      <c r="M35" s="29">
        <v>-113</v>
      </c>
      <c r="N35" s="169"/>
      <c r="O35" s="91"/>
      <c r="P35" s="27"/>
      <c r="Q35" s="27"/>
    </row>
    <row r="36" spans="1:17" x14ac:dyDescent="0.2">
      <c r="A36" s="9"/>
      <c r="B36" s="25" t="s">
        <v>82</v>
      </c>
      <c r="C36" s="10" t="s">
        <v>83</v>
      </c>
      <c r="D36" s="7">
        <v>159</v>
      </c>
      <c r="E36" s="11">
        <f t="shared" si="0"/>
        <v>39.75</v>
      </c>
      <c r="F36" s="11">
        <f t="shared" si="1"/>
        <v>2</v>
      </c>
      <c r="G36" s="11">
        <v>2.75</v>
      </c>
      <c r="H36" s="11">
        <v>0.75</v>
      </c>
      <c r="I36" s="32">
        <v>44.41</v>
      </c>
      <c r="J36" s="32">
        <v>0</v>
      </c>
      <c r="K36" s="32">
        <v>0</v>
      </c>
      <c r="L36" s="29">
        <f t="shared" si="2"/>
        <v>0.84000000000000341</v>
      </c>
      <c r="M36" s="29">
        <v>1</v>
      </c>
      <c r="N36" s="169"/>
      <c r="O36" s="91"/>
      <c r="P36" s="27"/>
      <c r="Q36" s="27"/>
    </row>
    <row r="37" spans="1:17" x14ac:dyDescent="0.2">
      <c r="A37" s="9"/>
      <c r="B37" s="25" t="s">
        <v>84</v>
      </c>
      <c r="C37" s="10" t="s">
        <v>85</v>
      </c>
      <c r="D37" s="7"/>
      <c r="E37" s="11">
        <f t="shared" si="0"/>
        <v>0</v>
      </c>
      <c r="F37" s="11">
        <f t="shared" si="1"/>
        <v>0</v>
      </c>
      <c r="G37" s="11"/>
      <c r="H37" s="11"/>
      <c r="I37" s="32"/>
      <c r="J37" s="32"/>
      <c r="K37" s="32"/>
      <c r="L37" s="29">
        <f t="shared" si="2"/>
        <v>0</v>
      </c>
      <c r="M37" s="29"/>
      <c r="N37" s="169"/>
      <c r="O37" s="91"/>
      <c r="P37" s="27" t="s">
        <v>59</v>
      </c>
      <c r="Q37" s="27"/>
    </row>
    <row r="38" spans="1:17" x14ac:dyDescent="0.2">
      <c r="A38" s="9"/>
      <c r="B38" s="25" t="s">
        <v>86</v>
      </c>
      <c r="C38" s="10" t="s">
        <v>87</v>
      </c>
      <c r="D38" s="8"/>
      <c r="E38" s="11">
        <f t="shared" si="0"/>
        <v>0</v>
      </c>
      <c r="F38" s="11">
        <f t="shared" si="1"/>
        <v>0</v>
      </c>
      <c r="G38" s="11"/>
      <c r="H38" s="11"/>
      <c r="I38" s="33"/>
      <c r="J38" s="33"/>
      <c r="K38" s="33"/>
      <c r="L38" s="29">
        <f t="shared" si="2"/>
        <v>0</v>
      </c>
      <c r="M38" s="29"/>
      <c r="N38" s="171"/>
      <c r="O38" s="25"/>
      <c r="P38" s="27"/>
      <c r="Q38" s="27">
        <v>6</v>
      </c>
    </row>
    <row r="39" spans="1:17" x14ac:dyDescent="0.2">
      <c r="A39" s="9"/>
      <c r="B39" s="25" t="s">
        <v>55</v>
      </c>
      <c r="C39" s="10" t="s">
        <v>88</v>
      </c>
      <c r="D39" s="7">
        <v>333</v>
      </c>
      <c r="E39" s="11">
        <f t="shared" si="0"/>
        <v>166.5</v>
      </c>
      <c r="F39" s="11">
        <f t="shared" si="1"/>
        <v>12</v>
      </c>
      <c r="G39" s="11">
        <v>2.75</v>
      </c>
      <c r="H39" s="11">
        <v>7.75</v>
      </c>
      <c r="I39" s="32">
        <v>126.8</v>
      </c>
      <c r="J39" s="32">
        <v>47.5</v>
      </c>
      <c r="K39" s="32">
        <v>0</v>
      </c>
      <c r="L39" s="29">
        <f t="shared" si="2"/>
        <v>14.700000000000003</v>
      </c>
      <c r="M39" s="29">
        <v>15</v>
      </c>
      <c r="N39" s="169"/>
      <c r="O39" s="91"/>
      <c r="P39" s="27"/>
      <c r="Q39" s="27">
        <v>6</v>
      </c>
    </row>
    <row r="40" spans="1:17" x14ac:dyDescent="0.2">
      <c r="A40" s="9"/>
      <c r="B40" s="25" t="s">
        <v>89</v>
      </c>
      <c r="C40" s="10" t="s">
        <v>90</v>
      </c>
      <c r="D40" s="7">
        <v>266</v>
      </c>
      <c r="E40" s="11">
        <f t="shared" si="0"/>
        <v>133</v>
      </c>
      <c r="F40" s="11">
        <f t="shared" si="1"/>
        <v>12</v>
      </c>
      <c r="G40" s="11">
        <v>2.75</v>
      </c>
      <c r="H40" s="11">
        <v>4.25</v>
      </c>
      <c r="I40" s="32">
        <v>0</v>
      </c>
      <c r="J40" s="32">
        <v>23.6</v>
      </c>
      <c r="K40" s="32">
        <v>17</v>
      </c>
      <c r="L40" s="29">
        <f t="shared" si="2"/>
        <v>111.4</v>
      </c>
      <c r="M40" s="29">
        <v>111</v>
      </c>
      <c r="N40" s="169"/>
      <c r="O40" s="91"/>
      <c r="P40" s="27"/>
      <c r="Q40" s="27"/>
    </row>
    <row r="41" spans="1:17" x14ac:dyDescent="0.2">
      <c r="A41" s="9"/>
      <c r="B41" s="25" t="s">
        <v>91</v>
      </c>
      <c r="C41" s="10" t="s">
        <v>92</v>
      </c>
      <c r="D41" s="7"/>
      <c r="E41" s="11">
        <f t="shared" si="0"/>
        <v>0</v>
      </c>
      <c r="F41" s="11">
        <f t="shared" si="1"/>
        <v>0</v>
      </c>
      <c r="G41" s="11"/>
      <c r="H41" s="11"/>
      <c r="I41" s="32"/>
      <c r="J41" s="32"/>
      <c r="K41" s="32"/>
      <c r="L41" s="29">
        <f t="shared" si="2"/>
        <v>0</v>
      </c>
      <c r="M41" s="29"/>
      <c r="N41" s="169"/>
      <c r="O41" s="91"/>
      <c r="P41" s="27"/>
      <c r="Q41" s="27"/>
    </row>
    <row r="42" spans="1:17" x14ac:dyDescent="0.2">
      <c r="A42" s="102"/>
      <c r="B42" s="25" t="s">
        <v>93</v>
      </c>
      <c r="C42" s="10" t="s">
        <v>94</v>
      </c>
      <c r="D42" s="7"/>
      <c r="E42" s="11">
        <f t="shared" si="0"/>
        <v>0</v>
      </c>
      <c r="F42" s="11">
        <f t="shared" si="1"/>
        <v>0</v>
      </c>
      <c r="G42" s="11"/>
      <c r="H42" s="11"/>
      <c r="I42" s="32"/>
      <c r="J42" s="32"/>
      <c r="K42" s="32"/>
      <c r="L42" s="29">
        <f t="shared" si="2"/>
        <v>0</v>
      </c>
      <c r="M42" s="29"/>
      <c r="N42" s="169"/>
      <c r="O42" s="91"/>
      <c r="P42" s="27"/>
      <c r="Q42" s="27"/>
    </row>
    <row r="43" spans="1:17" x14ac:dyDescent="0.2">
      <c r="A43" s="9"/>
      <c r="B43" s="25" t="s">
        <v>99</v>
      </c>
      <c r="C43" s="10" t="s">
        <v>95</v>
      </c>
      <c r="D43" s="7">
        <v>296</v>
      </c>
      <c r="E43" s="11">
        <f t="shared" si="0"/>
        <v>148</v>
      </c>
      <c r="F43" s="11">
        <f t="shared" si="1"/>
        <v>12</v>
      </c>
      <c r="G43" s="11">
        <v>2.75</v>
      </c>
      <c r="H43" s="11">
        <v>7</v>
      </c>
      <c r="I43" s="32">
        <v>91.5</v>
      </c>
      <c r="J43" s="32">
        <v>18.399999999999999</v>
      </c>
      <c r="K43" s="32">
        <v>0</v>
      </c>
      <c r="L43" s="29">
        <f t="shared" si="2"/>
        <v>59.85</v>
      </c>
      <c r="M43" s="29">
        <v>60</v>
      </c>
      <c r="N43" s="169">
        <v>0</v>
      </c>
      <c r="O43" s="91"/>
      <c r="P43" s="27"/>
      <c r="Q43" s="27"/>
    </row>
    <row r="44" spans="1:17" x14ac:dyDescent="0.2">
      <c r="A44" s="9"/>
      <c r="B44" s="25" t="s">
        <v>111</v>
      </c>
      <c r="C44" s="10" t="s">
        <v>96</v>
      </c>
      <c r="D44" s="7">
        <v>273</v>
      </c>
      <c r="E44" s="11">
        <f t="shared" si="0"/>
        <v>136.5</v>
      </c>
      <c r="F44" s="11">
        <f t="shared" si="1"/>
        <v>12</v>
      </c>
      <c r="G44" s="11">
        <v>0</v>
      </c>
      <c r="H44" s="11">
        <v>10.5</v>
      </c>
      <c r="I44" s="32">
        <v>172.5</v>
      </c>
      <c r="J44" s="32">
        <v>8.0500000000000007</v>
      </c>
      <c r="K44" s="32">
        <v>0</v>
      </c>
      <c r="L44" s="29">
        <f t="shared" si="2"/>
        <v>-21.55</v>
      </c>
      <c r="M44" s="29">
        <v>-22</v>
      </c>
      <c r="N44" s="169"/>
      <c r="O44" s="91"/>
      <c r="P44" s="27"/>
      <c r="Q44" s="27"/>
    </row>
    <row r="45" spans="1:17" x14ac:dyDescent="0.2">
      <c r="A45" s="9"/>
      <c r="B45" s="25" t="s">
        <v>97</v>
      </c>
      <c r="C45" s="10" t="s">
        <v>98</v>
      </c>
      <c r="D45" s="7">
        <v>238</v>
      </c>
      <c r="E45" s="11">
        <f t="shared" si="0"/>
        <v>119</v>
      </c>
      <c r="F45" s="11">
        <f t="shared" si="1"/>
        <v>12</v>
      </c>
      <c r="G45" s="11">
        <v>5.5</v>
      </c>
      <c r="H45" s="11">
        <v>1.5</v>
      </c>
      <c r="I45" s="32">
        <v>140.41999999999999</v>
      </c>
      <c r="J45" s="32">
        <v>14.4</v>
      </c>
      <c r="K45" s="32">
        <v>0</v>
      </c>
      <c r="L45" s="29">
        <f t="shared" si="2"/>
        <v>-16.819999999999986</v>
      </c>
      <c r="M45" s="29">
        <v>-17</v>
      </c>
      <c r="N45" s="169"/>
      <c r="O45" s="91"/>
      <c r="P45" s="27"/>
      <c r="Q45" s="27">
        <v>0</v>
      </c>
    </row>
    <row r="46" spans="1:17" x14ac:dyDescent="0.2">
      <c r="A46" s="9"/>
      <c r="B46" s="25" t="s">
        <v>99</v>
      </c>
      <c r="C46" s="10" t="s">
        <v>100</v>
      </c>
      <c r="D46" s="7"/>
      <c r="E46" s="11">
        <f t="shared" si="0"/>
        <v>0</v>
      </c>
      <c r="F46" s="11">
        <f t="shared" si="1"/>
        <v>0</v>
      </c>
      <c r="G46" s="11"/>
      <c r="H46" s="11"/>
      <c r="I46" s="32"/>
      <c r="J46" s="32"/>
      <c r="K46" s="32"/>
      <c r="L46" s="29">
        <f t="shared" si="2"/>
        <v>0</v>
      </c>
      <c r="M46" s="29"/>
      <c r="N46" s="169"/>
      <c r="O46" s="91"/>
      <c r="P46" s="27"/>
      <c r="Q46" s="27">
        <v>6</v>
      </c>
    </row>
    <row r="47" spans="1:17" x14ac:dyDescent="0.2">
      <c r="A47" s="9"/>
      <c r="B47" s="25"/>
      <c r="C47" s="10"/>
      <c r="D47" s="7"/>
      <c r="E47" s="11">
        <f t="shared" si="0"/>
        <v>0</v>
      </c>
      <c r="F47" s="11">
        <f t="shared" si="1"/>
        <v>0</v>
      </c>
      <c r="G47" s="11"/>
      <c r="H47" s="11"/>
      <c r="I47" s="32"/>
      <c r="J47" s="32"/>
      <c r="K47" s="32"/>
      <c r="L47" s="29">
        <f t="shared" si="2"/>
        <v>0</v>
      </c>
      <c r="M47" s="29"/>
      <c r="N47" s="169"/>
      <c r="O47" s="91"/>
      <c r="P47" s="27"/>
      <c r="Q47" s="27">
        <v>6</v>
      </c>
    </row>
    <row r="48" spans="1:17" x14ac:dyDescent="0.2">
      <c r="D48" s="3">
        <f t="shared" ref="D48:N48" si="3">SUM(D4:D47)</f>
        <v>7097.9400000000005</v>
      </c>
      <c r="E48" s="21">
        <f t="shared" si="3"/>
        <v>3210.7200000000003</v>
      </c>
      <c r="F48" s="3">
        <f t="shared" si="3"/>
        <v>254</v>
      </c>
      <c r="G48" s="3">
        <f t="shared" si="3"/>
        <v>71.5</v>
      </c>
      <c r="H48" s="3">
        <f t="shared" si="3"/>
        <v>124.25</v>
      </c>
      <c r="I48" s="3">
        <f t="shared" si="3"/>
        <v>2384.2400000000002</v>
      </c>
      <c r="J48" s="3">
        <f t="shared" si="3"/>
        <v>1122.0900000000001</v>
      </c>
      <c r="K48" s="3">
        <f t="shared" si="3"/>
        <v>17</v>
      </c>
      <c r="L48" s="3">
        <f t="shared" si="3"/>
        <v>137.14000000000004</v>
      </c>
      <c r="M48" s="3">
        <f t="shared" si="3"/>
        <v>136</v>
      </c>
      <c r="N48" s="3">
        <f t="shared" si="3"/>
        <v>-20</v>
      </c>
      <c r="O48" s="174"/>
      <c r="P48" s="1"/>
    </row>
    <row r="49" spans="5:5" x14ac:dyDescent="0.2">
      <c r="E49" s="2"/>
    </row>
    <row r="50" spans="5:5" x14ac:dyDescent="0.2">
      <c r="E50" s="2"/>
    </row>
    <row r="51" spans="5:5" x14ac:dyDescent="0.2">
      <c r="E51" s="2"/>
    </row>
    <row r="52" spans="5:5" x14ac:dyDescent="0.2">
      <c r="E52" s="2"/>
    </row>
    <row r="53" spans="5:5" x14ac:dyDescent="0.2">
      <c r="E53" s="2"/>
    </row>
  </sheetData>
  <mergeCells count="1">
    <mergeCell ref="R26:S26"/>
  </mergeCells>
  <conditionalFormatting sqref="C4:C12">
    <cfRule type="expression" dxfId="59" priority="2">
      <formula>$M4&lt;0</formula>
    </cfRule>
  </conditionalFormatting>
  <conditionalFormatting sqref="C13">
    <cfRule type="expression" dxfId="58" priority="43">
      <formula>$M$13&lt;0</formula>
    </cfRule>
  </conditionalFormatting>
  <conditionalFormatting sqref="C14:C47">
    <cfRule type="expression" dxfId="57" priority="1">
      <formula>$M14&lt;0</formula>
    </cfRule>
  </conditionalFormatting>
  <conditionalFormatting sqref="M4:M47">
    <cfRule type="cellIs" dxfId="56" priority="7" operator="lessThan">
      <formula>0</formula>
    </cfRule>
  </conditionalFormatting>
  <pageMargins left="0.7" right="0.7" top="0.75" bottom="0.75" header="0.3" footer="0.3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48"/>
  <sheetViews>
    <sheetView showGridLines="0" workbookViewId="0">
      <selection activeCell="N33" sqref="N33"/>
    </sheetView>
  </sheetViews>
  <sheetFormatPr baseColWidth="10" defaultColWidth="8.83203125" defaultRowHeight="15" x14ac:dyDescent="0.2"/>
  <cols>
    <col min="1" max="1" width="6.5" style="1" customWidth="1"/>
    <col min="2" max="2" width="12.1640625" style="26" customWidth="1"/>
    <col min="3" max="3" width="18.1640625" style="1" bestFit="1" customWidth="1"/>
    <col min="4" max="7" width="12.1640625" customWidth="1"/>
    <col min="8" max="8" width="12.1640625" style="22" customWidth="1"/>
    <col min="9" max="13" width="12.1640625" customWidth="1"/>
    <col min="14" max="14" width="12.5" bestFit="1" customWidth="1"/>
    <col min="15" max="15" width="22.33203125" bestFit="1" customWidth="1"/>
    <col min="16" max="17" width="6" style="1" customWidth="1"/>
    <col min="18" max="18" width="12.5" bestFit="1" customWidth="1"/>
    <col min="19" max="19" width="10.5" customWidth="1"/>
  </cols>
  <sheetData>
    <row r="1" spans="1:22" x14ac:dyDescent="0.2">
      <c r="A1" s="4" t="s">
        <v>0</v>
      </c>
      <c r="B1" s="108">
        <f>'Mon AM'!B1+1</f>
        <v>46119</v>
      </c>
      <c r="C1" s="208"/>
      <c r="D1" s="4" t="s">
        <v>1</v>
      </c>
      <c r="E1" s="6" t="s">
        <v>112</v>
      </c>
    </row>
    <row r="3" spans="1:22" x14ac:dyDescent="0.2">
      <c r="A3" s="4"/>
      <c r="B3" s="23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101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28" t="s">
        <v>16</v>
      </c>
    </row>
    <row r="4" spans="1:22" x14ac:dyDescent="0.2">
      <c r="A4" s="10"/>
      <c r="B4" s="24" t="s">
        <v>113</v>
      </c>
      <c r="C4" s="10" t="s">
        <v>114</v>
      </c>
      <c r="D4" s="11"/>
      <c r="E4" s="11">
        <f t="shared" ref="E4:E47" si="0">IF(AND(VALUE(B4)&lt;100, D4&gt;0),D4*0.5,D4*0.25)</f>
        <v>0</v>
      </c>
      <c r="F4" s="11">
        <f t="shared" ref="F4:F47" si="1">IF(P4="C",Q4,IF(AND(VALUE(B4)&lt;100, D4&gt;0),12,IF(D4&gt;0,2,0)))</f>
        <v>0</v>
      </c>
      <c r="G4" s="11"/>
      <c r="H4" s="11"/>
      <c r="I4" s="31"/>
      <c r="J4" s="31"/>
      <c r="K4" s="31"/>
      <c r="L4" s="29">
        <f t="shared" ref="L4:L47" si="2">(E4+F4+G4+H4)-I4-J4-K4</f>
        <v>0</v>
      </c>
      <c r="M4" s="29"/>
      <c r="N4" s="169"/>
      <c r="O4" s="172"/>
      <c r="P4" s="27" t="s">
        <v>59</v>
      </c>
      <c r="Q4" s="27">
        <v>0</v>
      </c>
      <c r="R4" s="15" t="s">
        <v>19</v>
      </c>
      <c r="S4" s="12">
        <f>D48</f>
        <v>2872</v>
      </c>
      <c r="U4" s="1"/>
      <c r="V4" s="1"/>
    </row>
    <row r="5" spans="1:22" x14ac:dyDescent="0.2">
      <c r="A5" s="9"/>
      <c r="B5" s="25" t="s">
        <v>117</v>
      </c>
      <c r="C5" s="10" t="s">
        <v>118</v>
      </c>
      <c r="D5" s="7"/>
      <c r="E5" s="11">
        <f t="shared" si="0"/>
        <v>0</v>
      </c>
      <c r="F5" s="11">
        <f t="shared" si="1"/>
        <v>0</v>
      </c>
      <c r="G5" s="11"/>
      <c r="H5" s="11"/>
      <c r="I5" s="32"/>
      <c r="J5" s="32"/>
      <c r="K5" s="32"/>
      <c r="L5" s="29">
        <f t="shared" si="2"/>
        <v>0</v>
      </c>
      <c r="M5" s="29"/>
      <c r="N5" s="169"/>
      <c r="O5" s="91"/>
      <c r="P5" s="27"/>
      <c r="Q5" s="27">
        <v>0</v>
      </c>
      <c r="R5" s="16" t="s">
        <v>22</v>
      </c>
      <c r="S5" s="13">
        <f>E48</f>
        <v>1329.5</v>
      </c>
      <c r="U5" s="1"/>
      <c r="V5" s="1"/>
    </row>
    <row r="6" spans="1:22" x14ac:dyDescent="0.2">
      <c r="A6" s="9"/>
      <c r="B6" s="25" t="s">
        <v>47</v>
      </c>
      <c r="C6" s="10" t="s">
        <v>119</v>
      </c>
      <c r="D6" s="7">
        <v>118</v>
      </c>
      <c r="E6" s="11">
        <f t="shared" si="0"/>
        <v>59</v>
      </c>
      <c r="F6" s="11">
        <f t="shared" si="1"/>
        <v>6</v>
      </c>
      <c r="G6" s="11">
        <v>0</v>
      </c>
      <c r="H6" s="11">
        <v>7</v>
      </c>
      <c r="I6" s="32">
        <v>75.5</v>
      </c>
      <c r="J6" s="32">
        <v>0</v>
      </c>
      <c r="K6" s="32">
        <v>0</v>
      </c>
      <c r="L6" s="29">
        <f t="shared" si="2"/>
        <v>-3.5</v>
      </c>
      <c r="M6" s="29">
        <v>-3</v>
      </c>
      <c r="N6" s="169"/>
      <c r="O6" s="91"/>
      <c r="P6" s="27" t="s">
        <v>59</v>
      </c>
      <c r="Q6" s="27">
        <v>6</v>
      </c>
      <c r="R6" s="16" t="s">
        <v>7</v>
      </c>
      <c r="S6" s="13">
        <f>F48</f>
        <v>116</v>
      </c>
    </row>
    <row r="7" spans="1:22" x14ac:dyDescent="0.2">
      <c r="A7" s="9"/>
      <c r="B7" s="25" t="s">
        <v>17</v>
      </c>
      <c r="C7" s="10" t="s">
        <v>156</v>
      </c>
      <c r="D7" s="7"/>
      <c r="E7" s="11">
        <f t="shared" si="0"/>
        <v>0</v>
      </c>
      <c r="F7" s="11">
        <f t="shared" si="1"/>
        <v>0</v>
      </c>
      <c r="G7" s="11"/>
      <c r="H7" s="11"/>
      <c r="I7" s="32"/>
      <c r="J7" s="32"/>
      <c r="K7" s="32"/>
      <c r="L7" s="29">
        <f t="shared" si="2"/>
        <v>0</v>
      </c>
      <c r="M7" s="29"/>
      <c r="N7" s="169"/>
      <c r="O7" s="91"/>
      <c r="P7" s="27" t="s">
        <v>59</v>
      </c>
      <c r="Q7" s="27">
        <v>0</v>
      </c>
      <c r="R7" s="16" t="s">
        <v>8</v>
      </c>
      <c r="S7" s="13">
        <f>G48</f>
        <v>13.75</v>
      </c>
    </row>
    <row r="8" spans="1:22" x14ac:dyDescent="0.2">
      <c r="A8" s="9"/>
      <c r="B8" s="25" t="s">
        <v>120</v>
      </c>
      <c r="C8" s="10" t="s">
        <v>121</v>
      </c>
      <c r="D8" s="7">
        <v>62</v>
      </c>
      <c r="E8" s="11">
        <f t="shared" si="0"/>
        <v>15.5</v>
      </c>
      <c r="F8" s="11">
        <f t="shared" si="1"/>
        <v>2</v>
      </c>
      <c r="G8" s="11">
        <v>0</v>
      </c>
      <c r="H8" s="11">
        <v>0</v>
      </c>
      <c r="I8" s="32">
        <v>11</v>
      </c>
      <c r="J8" s="32">
        <v>0</v>
      </c>
      <c r="K8" s="32">
        <v>0</v>
      </c>
      <c r="L8" s="29">
        <f t="shared" si="2"/>
        <v>6.5</v>
      </c>
      <c r="M8" s="29">
        <v>4</v>
      </c>
      <c r="N8" s="169">
        <v>2</v>
      </c>
      <c r="O8" s="91"/>
      <c r="P8" s="27"/>
      <c r="Q8" s="27">
        <v>6</v>
      </c>
      <c r="R8" s="16" t="s">
        <v>9</v>
      </c>
      <c r="S8" s="13">
        <f>H48</f>
        <v>65.25</v>
      </c>
    </row>
    <row r="9" spans="1:22" x14ac:dyDescent="0.2">
      <c r="A9" s="9"/>
      <c r="B9" s="25" t="s">
        <v>111</v>
      </c>
      <c r="C9" s="10" t="s">
        <v>122</v>
      </c>
      <c r="D9" s="7">
        <v>134</v>
      </c>
      <c r="E9" s="11">
        <f t="shared" si="0"/>
        <v>67</v>
      </c>
      <c r="F9" s="11">
        <f t="shared" si="1"/>
        <v>0</v>
      </c>
      <c r="G9" s="11">
        <v>2.75</v>
      </c>
      <c r="H9" s="11">
        <v>4.25</v>
      </c>
      <c r="I9" s="32">
        <v>0</v>
      </c>
      <c r="J9" s="32">
        <v>50.96</v>
      </c>
      <c r="K9" s="32">
        <v>0</v>
      </c>
      <c r="L9" s="29">
        <f t="shared" si="2"/>
        <v>23.04</v>
      </c>
      <c r="M9" s="29">
        <v>7</v>
      </c>
      <c r="N9" s="169">
        <v>16</v>
      </c>
      <c r="O9" s="91"/>
      <c r="P9" s="27" t="s">
        <v>59</v>
      </c>
      <c r="Q9" s="27">
        <v>0</v>
      </c>
      <c r="R9" s="16" t="s">
        <v>10</v>
      </c>
      <c r="S9" s="13">
        <f>I48</f>
        <v>1137.23</v>
      </c>
    </row>
    <row r="10" spans="1:22" x14ac:dyDescent="0.2">
      <c r="A10" s="9"/>
      <c r="B10" s="25" t="s">
        <v>52</v>
      </c>
      <c r="C10" s="10" t="s">
        <v>123</v>
      </c>
      <c r="D10" s="7"/>
      <c r="E10" s="11">
        <f t="shared" si="0"/>
        <v>0</v>
      </c>
      <c r="F10" s="11">
        <f t="shared" si="1"/>
        <v>0</v>
      </c>
      <c r="G10" s="11"/>
      <c r="H10" s="11"/>
      <c r="I10" s="32"/>
      <c r="J10" s="32"/>
      <c r="K10" s="32"/>
      <c r="L10" s="29">
        <f t="shared" si="2"/>
        <v>0</v>
      </c>
      <c r="M10" s="29"/>
      <c r="N10" s="169"/>
      <c r="O10" s="91"/>
      <c r="P10" s="27"/>
      <c r="Q10" s="27">
        <v>6</v>
      </c>
      <c r="R10" s="16" t="s">
        <v>11</v>
      </c>
      <c r="S10" s="13">
        <f>J48</f>
        <v>475.78</v>
      </c>
    </row>
    <row r="11" spans="1:22" x14ac:dyDescent="0.2">
      <c r="A11" s="9"/>
      <c r="B11" s="25" t="s">
        <v>97</v>
      </c>
      <c r="C11" s="10" t="s">
        <v>124</v>
      </c>
      <c r="D11" s="7">
        <v>216</v>
      </c>
      <c r="E11" s="11">
        <f t="shared" si="0"/>
        <v>108</v>
      </c>
      <c r="F11" s="11">
        <f t="shared" si="1"/>
        <v>12</v>
      </c>
      <c r="G11" s="11">
        <v>0</v>
      </c>
      <c r="H11" s="11">
        <v>0</v>
      </c>
      <c r="I11" s="32">
        <v>137</v>
      </c>
      <c r="J11" s="32">
        <v>32.200000000000003</v>
      </c>
      <c r="K11" s="32">
        <v>0</v>
      </c>
      <c r="L11" s="29">
        <f t="shared" si="2"/>
        <v>-49.2</v>
      </c>
      <c r="M11" s="29">
        <v>-49</v>
      </c>
      <c r="N11" s="169">
        <v>-49</v>
      </c>
      <c r="O11" s="91" t="s">
        <v>157</v>
      </c>
      <c r="P11" s="27"/>
      <c r="Q11" s="27">
        <v>6</v>
      </c>
      <c r="R11" s="16" t="s">
        <v>12</v>
      </c>
      <c r="S11" s="13">
        <f>K48</f>
        <v>0</v>
      </c>
    </row>
    <row r="12" spans="1:22" x14ac:dyDescent="0.2">
      <c r="A12" s="102"/>
      <c r="B12" s="25" t="s">
        <v>131</v>
      </c>
      <c r="C12" s="10" t="s">
        <v>125</v>
      </c>
      <c r="D12" s="7">
        <v>182</v>
      </c>
      <c r="E12" s="11">
        <f t="shared" si="0"/>
        <v>91</v>
      </c>
      <c r="F12" s="11">
        <f t="shared" si="1"/>
        <v>12</v>
      </c>
      <c r="G12" s="11">
        <v>2.75</v>
      </c>
      <c r="H12" s="11">
        <v>0.75</v>
      </c>
      <c r="I12" s="32">
        <v>6</v>
      </c>
      <c r="J12" s="32">
        <v>34.5</v>
      </c>
      <c r="K12" s="32">
        <v>0</v>
      </c>
      <c r="L12" s="29">
        <f t="shared" si="2"/>
        <v>66</v>
      </c>
      <c r="M12" s="29">
        <v>66</v>
      </c>
      <c r="N12" s="170"/>
      <c r="O12" s="173"/>
      <c r="P12" s="27"/>
      <c r="Q12" s="27">
        <v>6</v>
      </c>
      <c r="R12" s="17" t="s">
        <v>37</v>
      </c>
      <c r="S12" s="14">
        <f>N48</f>
        <v>-23</v>
      </c>
    </row>
    <row r="13" spans="1:22" x14ac:dyDescent="0.2">
      <c r="A13" s="102"/>
      <c r="B13" s="25" t="s">
        <v>111</v>
      </c>
      <c r="C13" s="10" t="s">
        <v>126</v>
      </c>
      <c r="D13" s="7">
        <v>317</v>
      </c>
      <c r="E13" s="11">
        <f t="shared" si="0"/>
        <v>158.5</v>
      </c>
      <c r="F13" s="11">
        <f t="shared" si="1"/>
        <v>12</v>
      </c>
      <c r="G13" s="11">
        <v>0</v>
      </c>
      <c r="H13" s="11">
        <v>7</v>
      </c>
      <c r="I13" s="32">
        <v>153.5</v>
      </c>
      <c r="J13" s="32">
        <v>97.75</v>
      </c>
      <c r="K13" s="32">
        <v>0</v>
      </c>
      <c r="L13" s="29">
        <f t="shared" si="2"/>
        <v>-73.75</v>
      </c>
      <c r="M13" s="29">
        <v>-74</v>
      </c>
      <c r="N13" s="169"/>
      <c r="O13" s="91"/>
      <c r="P13" s="27"/>
      <c r="Q13" s="27">
        <v>0</v>
      </c>
      <c r="R13" s="18"/>
      <c r="S13" s="30">
        <f>S5+S6+S7-S9-S10-S11-S12</f>
        <v>-130.76</v>
      </c>
      <c r="T13" s="22"/>
    </row>
    <row r="14" spans="1:22" x14ac:dyDescent="0.2">
      <c r="A14" s="9"/>
      <c r="B14" s="25" t="s">
        <v>31</v>
      </c>
      <c r="C14" s="10" t="s">
        <v>50</v>
      </c>
      <c r="D14" s="7"/>
      <c r="E14" s="11">
        <f t="shared" si="0"/>
        <v>0</v>
      </c>
      <c r="F14" s="11">
        <f t="shared" si="1"/>
        <v>0</v>
      </c>
      <c r="G14" s="11"/>
      <c r="H14" s="11"/>
      <c r="I14" s="32"/>
      <c r="J14" s="32"/>
      <c r="K14" s="32"/>
      <c r="L14" s="29">
        <f t="shared" si="2"/>
        <v>0</v>
      </c>
      <c r="M14" s="29"/>
      <c r="N14" s="169"/>
      <c r="O14" s="91"/>
      <c r="P14" s="27"/>
      <c r="Q14" s="27">
        <v>6</v>
      </c>
      <c r="R14" s="19" t="s">
        <v>42</v>
      </c>
      <c r="S14" s="20">
        <f>M48</f>
        <v>-121</v>
      </c>
    </row>
    <row r="15" spans="1:22" x14ac:dyDescent="0.2">
      <c r="A15" s="9"/>
      <c r="B15" s="25" t="s">
        <v>47</v>
      </c>
      <c r="C15" s="10" t="s">
        <v>158</v>
      </c>
      <c r="D15" s="7"/>
      <c r="E15" s="11">
        <f t="shared" si="0"/>
        <v>0</v>
      </c>
      <c r="F15" s="11">
        <f t="shared" si="1"/>
        <v>0</v>
      </c>
      <c r="G15" s="11"/>
      <c r="H15" s="11"/>
      <c r="I15" s="32"/>
      <c r="J15" s="32"/>
      <c r="K15" s="32"/>
      <c r="L15" s="29">
        <f t="shared" si="2"/>
        <v>0</v>
      </c>
      <c r="M15" s="29"/>
      <c r="N15" s="169"/>
      <c r="O15" s="91"/>
      <c r="P15" s="27"/>
      <c r="Q15" s="27"/>
    </row>
    <row r="16" spans="1:22" x14ac:dyDescent="0.2">
      <c r="A16" s="9"/>
      <c r="B16" s="25" t="s">
        <v>99</v>
      </c>
      <c r="C16" s="10" t="s">
        <v>129</v>
      </c>
      <c r="D16" s="7">
        <v>122</v>
      </c>
      <c r="E16" s="11">
        <f t="shared" si="0"/>
        <v>61</v>
      </c>
      <c r="F16" s="11">
        <f t="shared" si="1"/>
        <v>6</v>
      </c>
      <c r="G16" s="11">
        <v>0</v>
      </c>
      <c r="H16" s="11">
        <v>0</v>
      </c>
      <c r="I16" s="32">
        <v>33</v>
      </c>
      <c r="J16" s="32">
        <v>0</v>
      </c>
      <c r="K16" s="32">
        <v>0</v>
      </c>
      <c r="L16" s="29">
        <f t="shared" si="2"/>
        <v>34</v>
      </c>
      <c r="M16" s="29">
        <v>34</v>
      </c>
      <c r="N16" s="169"/>
      <c r="O16" s="91"/>
      <c r="P16" s="27" t="s">
        <v>59</v>
      </c>
      <c r="Q16" s="27">
        <v>6</v>
      </c>
      <c r="R16" s="35"/>
      <c r="S16" s="35"/>
      <c r="T16" s="35"/>
      <c r="U16" s="35"/>
    </row>
    <row r="17" spans="1:21" x14ac:dyDescent="0.2">
      <c r="A17" s="9"/>
      <c r="B17" s="25" t="s">
        <v>127</v>
      </c>
      <c r="C17" s="10" t="s">
        <v>128</v>
      </c>
      <c r="D17" s="7"/>
      <c r="E17" s="11">
        <f t="shared" si="0"/>
        <v>0</v>
      </c>
      <c r="F17" s="11">
        <f t="shared" si="1"/>
        <v>0</v>
      </c>
      <c r="G17" s="11"/>
      <c r="H17" s="11"/>
      <c r="I17" s="32"/>
      <c r="J17" s="32"/>
      <c r="K17" s="32"/>
      <c r="L17" s="29">
        <f t="shared" si="2"/>
        <v>0</v>
      </c>
      <c r="M17" s="29"/>
      <c r="N17" s="169"/>
      <c r="O17" s="91"/>
      <c r="P17" s="27"/>
      <c r="Q17" s="27"/>
      <c r="R17" s="35"/>
      <c r="S17" s="35"/>
      <c r="T17" s="35"/>
      <c r="U17" s="35"/>
    </row>
    <row r="18" spans="1:21" x14ac:dyDescent="0.2">
      <c r="A18" s="9"/>
      <c r="B18" s="25" t="s">
        <v>159</v>
      </c>
      <c r="C18" s="10" t="s">
        <v>132</v>
      </c>
      <c r="D18" s="7"/>
      <c r="E18" s="11">
        <f t="shared" si="0"/>
        <v>0</v>
      </c>
      <c r="F18" s="11">
        <f t="shared" si="1"/>
        <v>0</v>
      </c>
      <c r="G18" s="11"/>
      <c r="H18" s="11"/>
      <c r="I18" s="32"/>
      <c r="J18" s="32"/>
      <c r="K18" s="32"/>
      <c r="L18" s="29">
        <f t="shared" si="2"/>
        <v>0</v>
      </c>
      <c r="M18" s="29"/>
      <c r="N18" s="169"/>
      <c r="O18" s="91"/>
      <c r="P18" s="27"/>
      <c r="Q18" s="27"/>
      <c r="R18" s="15" t="s">
        <v>51</v>
      </c>
      <c r="S18" s="95">
        <f t="array" ref="S18">SUMPRODUCT((VALUE(B4:B47)&lt;100)*(D4:D47&gt;0))</f>
        <v>11</v>
      </c>
      <c r="T18" s="35"/>
      <c r="U18" s="35"/>
    </row>
    <row r="19" spans="1:21" x14ac:dyDescent="0.2">
      <c r="A19" s="9"/>
      <c r="B19" s="25" t="s">
        <v>89</v>
      </c>
      <c r="C19" s="10" t="s">
        <v>133</v>
      </c>
      <c r="D19" s="7"/>
      <c r="E19" s="11">
        <f t="shared" si="0"/>
        <v>0</v>
      </c>
      <c r="F19" s="11">
        <f t="shared" si="1"/>
        <v>0</v>
      </c>
      <c r="G19" s="11"/>
      <c r="H19" s="11"/>
      <c r="I19" s="32"/>
      <c r="J19" s="32"/>
      <c r="K19" s="32"/>
      <c r="L19" s="29">
        <f t="shared" si="2"/>
        <v>0</v>
      </c>
      <c r="M19" s="29"/>
      <c r="N19" s="169"/>
      <c r="O19" s="91"/>
      <c r="P19" s="27"/>
      <c r="Q19" s="27">
        <v>6</v>
      </c>
      <c r="R19" s="16" t="s">
        <v>54</v>
      </c>
      <c r="S19" s="96">
        <f t="array" ref="S19">SUMPRODUCT((VALUE(B4:B47)&gt;100)*(D4:D47&gt;0))</f>
        <v>4</v>
      </c>
      <c r="T19" s="35"/>
      <c r="U19" s="35"/>
    </row>
    <row r="20" spans="1:21" x14ac:dyDescent="0.2">
      <c r="A20" s="9"/>
      <c r="B20" s="25" t="s">
        <v>134</v>
      </c>
      <c r="C20" s="10" t="s">
        <v>135</v>
      </c>
      <c r="D20" s="7">
        <v>272</v>
      </c>
      <c r="E20" s="11">
        <f t="shared" si="0"/>
        <v>136</v>
      </c>
      <c r="F20" s="11">
        <f t="shared" si="1"/>
        <v>12</v>
      </c>
      <c r="G20" s="11">
        <v>2.75</v>
      </c>
      <c r="H20" s="11">
        <v>3.5</v>
      </c>
      <c r="I20" s="32">
        <v>111</v>
      </c>
      <c r="J20" s="32">
        <v>171.21</v>
      </c>
      <c r="K20" s="32">
        <v>0</v>
      </c>
      <c r="L20" s="29">
        <f t="shared" si="2"/>
        <v>-127.96000000000001</v>
      </c>
      <c r="M20" s="29">
        <v>-128</v>
      </c>
      <c r="N20" s="169"/>
      <c r="O20" s="91"/>
      <c r="P20" s="27"/>
      <c r="Q20" s="27"/>
      <c r="R20" s="17" t="s">
        <v>57</v>
      </c>
      <c r="S20" s="97">
        <f>S18+S19</f>
        <v>15</v>
      </c>
      <c r="T20" s="35"/>
      <c r="U20" s="35"/>
    </row>
    <row r="21" spans="1:21" x14ac:dyDescent="0.2">
      <c r="A21" s="9"/>
      <c r="B21" s="25" t="s">
        <v>63</v>
      </c>
      <c r="C21" s="10" t="s">
        <v>137</v>
      </c>
      <c r="D21" s="7">
        <v>329</v>
      </c>
      <c r="E21" s="11">
        <f t="shared" si="0"/>
        <v>164.5</v>
      </c>
      <c r="F21" s="11">
        <f t="shared" si="1"/>
        <v>12</v>
      </c>
      <c r="G21" s="11">
        <v>0</v>
      </c>
      <c r="H21" s="11">
        <v>17.5</v>
      </c>
      <c r="I21" s="32">
        <v>267</v>
      </c>
      <c r="J21" s="32">
        <v>0</v>
      </c>
      <c r="K21" s="32">
        <v>0</v>
      </c>
      <c r="L21" s="29">
        <f t="shared" si="2"/>
        <v>-73</v>
      </c>
      <c r="M21" s="29">
        <v>-73</v>
      </c>
      <c r="N21" s="169">
        <v>-2</v>
      </c>
      <c r="O21" s="91" t="s">
        <v>160</v>
      </c>
      <c r="P21" s="27"/>
      <c r="Q21" s="27">
        <v>6</v>
      </c>
      <c r="R21" s="35"/>
      <c r="S21" s="35"/>
      <c r="T21" s="35"/>
      <c r="U21" s="35"/>
    </row>
    <row r="22" spans="1:21" x14ac:dyDescent="0.2">
      <c r="A22" s="9"/>
      <c r="B22" s="25" t="s">
        <v>145</v>
      </c>
      <c r="C22" s="10" t="s">
        <v>146</v>
      </c>
      <c r="D22" s="7">
        <v>75</v>
      </c>
      <c r="E22" s="11">
        <f t="shared" si="0"/>
        <v>18.75</v>
      </c>
      <c r="F22" s="11">
        <f t="shared" si="1"/>
        <v>2</v>
      </c>
      <c r="G22" s="11">
        <v>0</v>
      </c>
      <c r="H22" s="11">
        <v>0</v>
      </c>
      <c r="I22" s="32">
        <v>64</v>
      </c>
      <c r="J22" s="32">
        <v>0</v>
      </c>
      <c r="K22" s="32">
        <v>0</v>
      </c>
      <c r="L22" s="29">
        <f t="shared" si="2"/>
        <v>-43.25</v>
      </c>
      <c r="M22" s="29">
        <v>-43</v>
      </c>
      <c r="N22" s="169">
        <v>-5</v>
      </c>
      <c r="O22" s="91" t="s">
        <v>161</v>
      </c>
      <c r="P22" s="27"/>
      <c r="Q22" s="27"/>
    </row>
    <row r="23" spans="1:21" x14ac:dyDescent="0.2">
      <c r="A23" s="9"/>
      <c r="B23" s="25" t="s">
        <v>77</v>
      </c>
      <c r="C23" s="10" t="s">
        <v>139</v>
      </c>
      <c r="D23" s="7">
        <v>181</v>
      </c>
      <c r="E23" s="11">
        <f t="shared" si="0"/>
        <v>90.5</v>
      </c>
      <c r="F23" s="11">
        <f t="shared" si="1"/>
        <v>12</v>
      </c>
      <c r="G23" s="11">
        <v>0</v>
      </c>
      <c r="H23" s="11">
        <v>3.5</v>
      </c>
      <c r="I23" s="32">
        <v>0</v>
      </c>
      <c r="J23" s="32">
        <v>0</v>
      </c>
      <c r="K23" s="32">
        <v>0</v>
      </c>
      <c r="L23" s="29">
        <f t="shared" si="2"/>
        <v>106</v>
      </c>
      <c r="M23" s="29">
        <v>106</v>
      </c>
      <c r="N23" s="169"/>
      <c r="O23" s="91"/>
      <c r="P23" s="98"/>
      <c r="Q23" s="98">
        <v>6</v>
      </c>
    </row>
    <row r="24" spans="1:21" x14ac:dyDescent="0.2">
      <c r="A24" s="9"/>
      <c r="B24" s="25" t="s">
        <v>111</v>
      </c>
      <c r="C24" s="10" t="s">
        <v>140</v>
      </c>
      <c r="D24" s="7"/>
      <c r="E24" s="11">
        <f t="shared" si="0"/>
        <v>0</v>
      </c>
      <c r="F24" s="11">
        <f t="shared" si="1"/>
        <v>0</v>
      </c>
      <c r="G24" s="11"/>
      <c r="H24" s="11"/>
      <c r="I24" s="32"/>
      <c r="J24" s="32"/>
      <c r="K24" s="32"/>
      <c r="L24" s="29">
        <f t="shared" si="2"/>
        <v>0</v>
      </c>
      <c r="M24" s="29"/>
      <c r="N24" s="169"/>
      <c r="O24" s="91"/>
      <c r="P24" s="27"/>
      <c r="Q24" s="27">
        <v>0</v>
      </c>
    </row>
    <row r="25" spans="1:21" x14ac:dyDescent="0.2">
      <c r="A25" s="9"/>
      <c r="B25" s="25" t="s">
        <v>27</v>
      </c>
      <c r="C25" s="10" t="s">
        <v>141</v>
      </c>
      <c r="D25" s="7">
        <v>279</v>
      </c>
      <c r="E25" s="11">
        <f t="shared" si="0"/>
        <v>139.5</v>
      </c>
      <c r="F25" s="11">
        <f t="shared" si="1"/>
        <v>12</v>
      </c>
      <c r="G25" s="11">
        <v>2.75</v>
      </c>
      <c r="H25" s="11">
        <v>3.5</v>
      </c>
      <c r="I25" s="32">
        <v>183.13</v>
      </c>
      <c r="J25" s="32">
        <v>23</v>
      </c>
      <c r="K25" s="32">
        <v>0</v>
      </c>
      <c r="L25" s="29">
        <f t="shared" si="2"/>
        <v>-48.379999999999995</v>
      </c>
      <c r="M25" s="29">
        <v>-48</v>
      </c>
      <c r="N25" s="169"/>
      <c r="O25" s="91"/>
      <c r="P25" s="27"/>
      <c r="Q25" s="27">
        <v>0</v>
      </c>
    </row>
    <row r="26" spans="1:21" x14ac:dyDescent="0.2">
      <c r="A26" s="9"/>
      <c r="B26" s="25" t="s">
        <v>142</v>
      </c>
      <c r="C26" s="10" t="s">
        <v>143</v>
      </c>
      <c r="D26" s="7"/>
      <c r="E26" s="11">
        <f t="shared" si="0"/>
        <v>0</v>
      </c>
      <c r="F26" s="11">
        <f t="shared" si="1"/>
        <v>0</v>
      </c>
      <c r="G26" s="11"/>
      <c r="H26" s="11"/>
      <c r="I26" s="32"/>
      <c r="J26" s="32"/>
      <c r="K26" s="32"/>
      <c r="L26" s="29">
        <f t="shared" si="2"/>
        <v>0</v>
      </c>
      <c r="M26" s="29"/>
      <c r="N26" s="169"/>
      <c r="O26" s="91"/>
      <c r="P26" s="27"/>
      <c r="Q26" s="168">
        <v>6</v>
      </c>
    </row>
    <row r="27" spans="1:21" x14ac:dyDescent="0.2">
      <c r="A27" s="9"/>
      <c r="B27" s="25" t="s">
        <v>115</v>
      </c>
      <c r="C27" s="10" t="s">
        <v>116</v>
      </c>
      <c r="D27" s="7">
        <v>96</v>
      </c>
      <c r="E27" s="11">
        <f t="shared" si="0"/>
        <v>24</v>
      </c>
      <c r="F27" s="11">
        <f t="shared" si="1"/>
        <v>2</v>
      </c>
      <c r="G27" s="11">
        <v>0</v>
      </c>
      <c r="H27" s="11">
        <v>0</v>
      </c>
      <c r="I27" s="32">
        <v>11</v>
      </c>
      <c r="J27" s="32">
        <v>0</v>
      </c>
      <c r="K27" s="32">
        <v>0</v>
      </c>
      <c r="L27" s="29">
        <f t="shared" si="2"/>
        <v>15</v>
      </c>
      <c r="M27" s="29">
        <v>0</v>
      </c>
      <c r="N27" s="169">
        <v>15</v>
      </c>
      <c r="O27" s="91"/>
      <c r="R27" s="212"/>
      <c r="S27" s="213"/>
    </row>
    <row r="28" spans="1:21" x14ac:dyDescent="0.2">
      <c r="A28" s="9"/>
      <c r="B28" s="25" t="s">
        <v>43</v>
      </c>
      <c r="C28" s="10" t="s">
        <v>149</v>
      </c>
      <c r="D28" s="7">
        <v>296</v>
      </c>
      <c r="E28" s="11">
        <f t="shared" si="0"/>
        <v>148</v>
      </c>
      <c r="F28" s="11">
        <f t="shared" si="1"/>
        <v>12</v>
      </c>
      <c r="G28" s="11">
        <v>2.75</v>
      </c>
      <c r="H28" s="11">
        <v>18.25</v>
      </c>
      <c r="I28" s="32">
        <v>63.5</v>
      </c>
      <c r="J28" s="32">
        <v>66.16</v>
      </c>
      <c r="K28" s="32">
        <v>0</v>
      </c>
      <c r="L28" s="29">
        <f t="shared" si="2"/>
        <v>51.34</v>
      </c>
      <c r="M28" s="29">
        <v>51</v>
      </c>
      <c r="N28" s="169"/>
      <c r="O28" s="91"/>
      <c r="P28" s="27"/>
      <c r="Q28" s="27">
        <v>0</v>
      </c>
      <c r="S28" s="22"/>
      <c r="T28" s="27">
        <v>1</v>
      </c>
    </row>
    <row r="29" spans="1:21" x14ac:dyDescent="0.2">
      <c r="A29" s="9"/>
      <c r="B29" s="25" t="s">
        <v>162</v>
      </c>
      <c r="C29" s="10" t="s">
        <v>163</v>
      </c>
      <c r="D29" s="7"/>
      <c r="E29" s="11">
        <f t="shared" si="0"/>
        <v>0</v>
      </c>
      <c r="F29" s="11">
        <f t="shared" si="1"/>
        <v>0</v>
      </c>
      <c r="G29" s="11"/>
      <c r="H29" s="11"/>
      <c r="I29" s="32"/>
      <c r="J29" s="32"/>
      <c r="K29" s="32"/>
      <c r="L29" s="29">
        <f t="shared" si="2"/>
        <v>0</v>
      </c>
      <c r="M29" s="29"/>
      <c r="N29" s="169"/>
      <c r="O29" s="91"/>
      <c r="S29" s="22"/>
      <c r="T29" s="27">
        <v>0</v>
      </c>
    </row>
    <row r="30" spans="1:21" x14ac:dyDescent="0.2">
      <c r="A30" s="9"/>
      <c r="B30" s="25" t="s">
        <v>55</v>
      </c>
      <c r="C30" s="10" t="s">
        <v>148</v>
      </c>
      <c r="D30" s="7"/>
      <c r="E30" s="11">
        <f t="shared" si="0"/>
        <v>0</v>
      </c>
      <c r="F30" s="11">
        <f t="shared" si="1"/>
        <v>0</v>
      </c>
      <c r="G30" s="11"/>
      <c r="H30" s="11"/>
      <c r="I30" s="32"/>
      <c r="J30" s="32"/>
      <c r="K30" s="32"/>
      <c r="L30" s="29">
        <f t="shared" si="2"/>
        <v>0</v>
      </c>
      <c r="M30" s="29"/>
      <c r="N30" s="169"/>
      <c r="O30" s="91"/>
      <c r="P30" s="168" t="s">
        <v>59</v>
      </c>
      <c r="S30" s="22"/>
    </row>
    <row r="31" spans="1:21" x14ac:dyDescent="0.2">
      <c r="A31" s="9"/>
      <c r="B31" s="25" t="s">
        <v>43</v>
      </c>
      <c r="C31" s="10" t="s">
        <v>164</v>
      </c>
      <c r="D31" s="7"/>
      <c r="E31" s="11">
        <f t="shared" si="0"/>
        <v>0</v>
      </c>
      <c r="F31" s="11">
        <f t="shared" si="1"/>
        <v>0</v>
      </c>
      <c r="G31" s="11"/>
      <c r="H31" s="11"/>
      <c r="I31" s="32"/>
      <c r="J31" s="32"/>
      <c r="K31" s="32"/>
      <c r="L31" s="29">
        <f t="shared" si="2"/>
        <v>0</v>
      </c>
      <c r="M31" s="29"/>
      <c r="N31" s="169"/>
      <c r="O31" s="91"/>
      <c r="R31" s="18"/>
      <c r="S31" s="3"/>
    </row>
    <row r="32" spans="1:21" x14ac:dyDescent="0.2">
      <c r="A32" s="9"/>
      <c r="B32" s="25" t="s">
        <v>93</v>
      </c>
      <c r="C32" s="10" t="s">
        <v>94</v>
      </c>
      <c r="D32" s="7"/>
      <c r="E32" s="11">
        <f t="shared" si="0"/>
        <v>0</v>
      </c>
      <c r="F32" s="11">
        <f t="shared" si="1"/>
        <v>0</v>
      </c>
      <c r="G32" s="11"/>
      <c r="H32" s="11"/>
      <c r="I32" s="32"/>
      <c r="J32" s="32"/>
      <c r="K32" s="32"/>
      <c r="L32" s="29">
        <f t="shared" si="2"/>
        <v>0</v>
      </c>
      <c r="M32" s="29"/>
      <c r="N32" s="169"/>
      <c r="O32" s="91"/>
    </row>
    <row r="33" spans="1:19" x14ac:dyDescent="0.2">
      <c r="A33" s="9"/>
      <c r="B33" s="25" t="s">
        <v>165</v>
      </c>
      <c r="C33" s="10" t="s">
        <v>166</v>
      </c>
      <c r="D33" s="7"/>
      <c r="E33" s="11">
        <f t="shared" si="0"/>
        <v>0</v>
      </c>
      <c r="F33" s="11">
        <f t="shared" si="1"/>
        <v>0</v>
      </c>
      <c r="G33" s="11"/>
      <c r="H33" s="11"/>
      <c r="I33" s="32"/>
      <c r="J33" s="32"/>
      <c r="K33" s="32"/>
      <c r="L33" s="29">
        <f t="shared" si="2"/>
        <v>0</v>
      </c>
      <c r="M33" s="29"/>
      <c r="N33" s="169"/>
      <c r="O33" s="91"/>
    </row>
    <row r="34" spans="1:19" x14ac:dyDescent="0.2">
      <c r="A34" s="9"/>
      <c r="B34" s="25" t="s">
        <v>25</v>
      </c>
      <c r="C34" s="10" t="s">
        <v>26</v>
      </c>
      <c r="D34" s="7"/>
      <c r="E34" s="11">
        <f t="shared" si="0"/>
        <v>0</v>
      </c>
      <c r="F34" s="11">
        <f t="shared" si="1"/>
        <v>0</v>
      </c>
      <c r="G34" s="11"/>
      <c r="H34" s="11"/>
      <c r="I34" s="32"/>
      <c r="J34" s="32"/>
      <c r="K34" s="32"/>
      <c r="L34" s="29">
        <f t="shared" si="2"/>
        <v>0</v>
      </c>
      <c r="M34" s="29"/>
      <c r="N34" s="169"/>
      <c r="O34" s="91"/>
      <c r="R34" s="18"/>
      <c r="S34" s="1"/>
    </row>
    <row r="35" spans="1:19" x14ac:dyDescent="0.2">
      <c r="A35" s="9"/>
      <c r="B35" s="25" t="s">
        <v>152</v>
      </c>
      <c r="C35" s="10" t="s">
        <v>153</v>
      </c>
      <c r="D35" s="7">
        <v>193</v>
      </c>
      <c r="E35" s="11">
        <f t="shared" si="0"/>
        <v>48.25</v>
      </c>
      <c r="F35" s="11">
        <f t="shared" si="1"/>
        <v>2</v>
      </c>
      <c r="G35" s="11">
        <v>0</v>
      </c>
      <c r="H35" s="11">
        <v>0</v>
      </c>
      <c r="I35" s="32">
        <v>21.6</v>
      </c>
      <c r="J35" s="32">
        <v>0</v>
      </c>
      <c r="K35" s="32">
        <v>0</v>
      </c>
      <c r="L35" s="29">
        <f t="shared" si="2"/>
        <v>28.65</v>
      </c>
      <c r="M35" s="29">
        <v>29</v>
      </c>
      <c r="N35" s="169"/>
      <c r="O35" s="91"/>
      <c r="R35" s="18"/>
      <c r="S35" s="1"/>
    </row>
    <row r="36" spans="1:19" x14ac:dyDescent="0.2">
      <c r="A36" s="9"/>
      <c r="B36" s="25" t="s">
        <v>147</v>
      </c>
      <c r="C36" s="10" t="s">
        <v>100</v>
      </c>
      <c r="D36" s="7"/>
      <c r="E36" s="11">
        <f t="shared" si="0"/>
        <v>0</v>
      </c>
      <c r="F36" s="11">
        <f t="shared" si="1"/>
        <v>0</v>
      </c>
      <c r="G36" s="11"/>
      <c r="H36" s="11"/>
      <c r="I36" s="32"/>
      <c r="J36" s="32"/>
      <c r="K36" s="32"/>
      <c r="L36" s="29">
        <f t="shared" si="2"/>
        <v>0</v>
      </c>
      <c r="M36" s="29"/>
      <c r="N36" s="169"/>
      <c r="O36" s="91"/>
      <c r="R36" s="18"/>
      <c r="S36" s="1"/>
    </row>
    <row r="37" spans="1:19" x14ac:dyDescent="0.2">
      <c r="A37" s="102"/>
      <c r="B37" s="25"/>
      <c r="C37" s="10"/>
      <c r="D37" s="7"/>
      <c r="E37" s="11">
        <f t="shared" si="0"/>
        <v>0</v>
      </c>
      <c r="F37" s="11">
        <f t="shared" si="1"/>
        <v>0</v>
      </c>
      <c r="G37" s="11"/>
      <c r="H37" s="11"/>
      <c r="I37" s="32"/>
      <c r="J37" s="32"/>
      <c r="K37" s="32"/>
      <c r="L37" s="29">
        <f t="shared" si="2"/>
        <v>0</v>
      </c>
      <c r="M37" s="29"/>
      <c r="N37" s="169"/>
      <c r="O37" s="91"/>
    </row>
    <row r="38" spans="1:19" x14ac:dyDescent="0.2">
      <c r="A38" s="9"/>
      <c r="B38" s="25"/>
      <c r="C38" s="10"/>
      <c r="D38" s="7"/>
      <c r="E38" s="11">
        <f t="shared" si="0"/>
        <v>0</v>
      </c>
      <c r="F38" s="11">
        <f t="shared" si="1"/>
        <v>0</v>
      </c>
      <c r="G38" s="11"/>
      <c r="H38" s="11"/>
      <c r="I38" s="32"/>
      <c r="J38" s="32"/>
      <c r="K38" s="32"/>
      <c r="L38" s="29">
        <f t="shared" si="2"/>
        <v>0</v>
      </c>
      <c r="M38" s="29"/>
      <c r="N38" s="169"/>
      <c r="O38" s="91"/>
    </row>
    <row r="39" spans="1:19" x14ac:dyDescent="0.2">
      <c r="A39" s="9"/>
      <c r="B39" s="25"/>
      <c r="C39" s="10"/>
      <c r="D39" s="7"/>
      <c r="E39" s="11">
        <f t="shared" si="0"/>
        <v>0</v>
      </c>
      <c r="F39" s="11">
        <f t="shared" si="1"/>
        <v>0</v>
      </c>
      <c r="G39" s="11"/>
      <c r="H39" s="11"/>
      <c r="I39" s="32"/>
      <c r="J39" s="32"/>
      <c r="K39" s="32"/>
      <c r="L39" s="29">
        <f t="shared" si="2"/>
        <v>0</v>
      </c>
      <c r="M39" s="29"/>
      <c r="N39" s="169"/>
      <c r="O39" s="91"/>
    </row>
    <row r="40" spans="1:19" x14ac:dyDescent="0.2">
      <c r="A40" s="9"/>
      <c r="B40" s="25"/>
      <c r="C40" s="10"/>
      <c r="D40" s="7"/>
      <c r="E40" s="11">
        <f t="shared" si="0"/>
        <v>0</v>
      </c>
      <c r="F40" s="11">
        <f t="shared" si="1"/>
        <v>0</v>
      </c>
      <c r="G40" s="11"/>
      <c r="H40" s="11"/>
      <c r="I40" s="32"/>
      <c r="J40" s="32"/>
      <c r="K40" s="32"/>
      <c r="L40" s="29">
        <f t="shared" si="2"/>
        <v>0</v>
      </c>
      <c r="M40" s="29"/>
      <c r="N40" s="169"/>
      <c r="O40" s="91"/>
    </row>
    <row r="41" spans="1:19" x14ac:dyDescent="0.2">
      <c r="A41" s="9"/>
      <c r="B41" s="25"/>
      <c r="C41" s="10"/>
      <c r="D41" s="8"/>
      <c r="E41" s="11">
        <f t="shared" si="0"/>
        <v>0</v>
      </c>
      <c r="F41" s="11">
        <f t="shared" si="1"/>
        <v>0</v>
      </c>
      <c r="G41" s="11"/>
      <c r="H41" s="11"/>
      <c r="I41" s="33"/>
      <c r="J41" s="33"/>
      <c r="K41" s="33"/>
      <c r="L41" s="29">
        <f t="shared" si="2"/>
        <v>0</v>
      </c>
      <c r="M41" s="29"/>
      <c r="N41" s="171"/>
      <c r="O41" s="25"/>
    </row>
    <row r="42" spans="1:19" x14ac:dyDescent="0.2">
      <c r="A42" s="102"/>
      <c r="B42" s="25"/>
      <c r="C42" s="10"/>
      <c r="D42" s="7"/>
      <c r="E42" s="11">
        <f t="shared" si="0"/>
        <v>0</v>
      </c>
      <c r="F42" s="11">
        <f t="shared" si="1"/>
        <v>0</v>
      </c>
      <c r="G42" s="11"/>
      <c r="H42" s="11"/>
      <c r="I42" s="32"/>
      <c r="J42" s="32"/>
      <c r="K42" s="32"/>
      <c r="L42" s="29">
        <f t="shared" si="2"/>
        <v>0</v>
      </c>
      <c r="M42" s="29"/>
      <c r="N42" s="169"/>
      <c r="O42" s="91"/>
    </row>
    <row r="43" spans="1:19" x14ac:dyDescent="0.2">
      <c r="A43" s="9"/>
      <c r="B43" s="25"/>
      <c r="C43" s="10"/>
      <c r="D43" s="7"/>
      <c r="E43" s="11">
        <f t="shared" si="0"/>
        <v>0</v>
      </c>
      <c r="F43" s="11">
        <f t="shared" si="1"/>
        <v>0</v>
      </c>
      <c r="G43" s="11"/>
      <c r="H43" s="11"/>
      <c r="I43" s="32"/>
      <c r="J43" s="32"/>
      <c r="K43" s="32"/>
      <c r="L43" s="29">
        <f t="shared" si="2"/>
        <v>0</v>
      </c>
      <c r="M43" s="29"/>
      <c r="N43" s="169"/>
      <c r="O43" s="91"/>
    </row>
    <row r="44" spans="1:19" x14ac:dyDescent="0.2">
      <c r="A44" s="9"/>
      <c r="B44" s="25"/>
      <c r="C44" s="10"/>
      <c r="D44" s="7"/>
      <c r="E44" s="11">
        <f t="shared" si="0"/>
        <v>0</v>
      </c>
      <c r="F44" s="11">
        <f t="shared" si="1"/>
        <v>0</v>
      </c>
      <c r="G44" s="11"/>
      <c r="H44" s="11"/>
      <c r="I44" s="32"/>
      <c r="J44" s="32"/>
      <c r="K44" s="32"/>
      <c r="L44" s="29">
        <f t="shared" si="2"/>
        <v>0</v>
      </c>
      <c r="M44" s="29"/>
      <c r="N44" s="169"/>
      <c r="O44" s="91"/>
    </row>
    <row r="45" spans="1:19" x14ac:dyDescent="0.2">
      <c r="A45" s="9"/>
      <c r="B45" s="103"/>
      <c r="C45" s="10"/>
      <c r="D45" s="7"/>
      <c r="E45" s="11">
        <f t="shared" si="0"/>
        <v>0</v>
      </c>
      <c r="F45" s="11">
        <f t="shared" si="1"/>
        <v>0</v>
      </c>
      <c r="G45" s="11"/>
      <c r="H45" s="11"/>
      <c r="I45" s="32"/>
      <c r="J45" s="32"/>
      <c r="K45" s="32"/>
      <c r="L45" s="29">
        <f t="shared" si="2"/>
        <v>0</v>
      </c>
      <c r="M45" s="29"/>
      <c r="N45" s="169"/>
      <c r="O45" s="91"/>
    </row>
    <row r="46" spans="1:19" x14ac:dyDescent="0.2">
      <c r="A46" s="9"/>
      <c r="B46" s="25"/>
      <c r="C46" s="10"/>
      <c r="D46" s="7"/>
      <c r="E46" s="11">
        <f t="shared" si="0"/>
        <v>0</v>
      </c>
      <c r="F46" s="11">
        <f t="shared" si="1"/>
        <v>0</v>
      </c>
      <c r="G46" s="11"/>
      <c r="H46" s="11"/>
      <c r="I46" s="32"/>
      <c r="J46" s="32"/>
      <c r="K46" s="32"/>
      <c r="L46" s="29">
        <f t="shared" si="2"/>
        <v>0</v>
      </c>
      <c r="M46" s="29"/>
      <c r="N46" s="169"/>
      <c r="O46" s="91"/>
    </row>
    <row r="47" spans="1:19" x14ac:dyDescent="0.2">
      <c r="A47" s="9"/>
      <c r="B47" s="25"/>
      <c r="C47" s="10"/>
      <c r="D47" s="7"/>
      <c r="E47" s="11">
        <f t="shared" si="0"/>
        <v>0</v>
      </c>
      <c r="F47" s="11">
        <f t="shared" si="1"/>
        <v>0</v>
      </c>
      <c r="G47" s="11"/>
      <c r="H47" s="11"/>
      <c r="I47" s="32"/>
      <c r="J47" s="32"/>
      <c r="K47" s="32"/>
      <c r="L47" s="29">
        <f t="shared" si="2"/>
        <v>0</v>
      </c>
      <c r="M47" s="29"/>
      <c r="N47" s="169"/>
      <c r="O47" s="91"/>
    </row>
    <row r="48" spans="1:19" x14ac:dyDescent="0.2">
      <c r="D48" s="3">
        <f t="shared" ref="D48:N48" si="3">SUM(D4:D47)</f>
        <v>2872</v>
      </c>
      <c r="E48" s="21">
        <f t="shared" si="3"/>
        <v>1329.5</v>
      </c>
      <c r="F48" s="3">
        <f t="shared" si="3"/>
        <v>116</v>
      </c>
      <c r="G48" s="3">
        <f t="shared" si="3"/>
        <v>13.75</v>
      </c>
      <c r="H48" s="3">
        <f t="shared" si="3"/>
        <v>65.25</v>
      </c>
      <c r="I48" s="3">
        <f t="shared" si="3"/>
        <v>1137.23</v>
      </c>
      <c r="J48" s="3">
        <f t="shared" si="3"/>
        <v>475.78</v>
      </c>
      <c r="K48" s="3">
        <f t="shared" si="3"/>
        <v>0</v>
      </c>
      <c r="L48" s="3">
        <f t="shared" si="3"/>
        <v>-88.509999999999991</v>
      </c>
      <c r="M48" s="3">
        <f t="shared" si="3"/>
        <v>-121</v>
      </c>
      <c r="N48" s="3">
        <f t="shared" si="3"/>
        <v>-23</v>
      </c>
      <c r="O48" s="174"/>
    </row>
  </sheetData>
  <mergeCells count="1">
    <mergeCell ref="R27:S27"/>
  </mergeCells>
  <conditionalFormatting sqref="C4:C27">
    <cfRule type="expression" dxfId="55" priority="2">
      <formula>$M4&lt;0</formula>
    </cfRule>
  </conditionalFormatting>
  <conditionalFormatting sqref="C28">
    <cfRule type="expression" dxfId="54" priority="46">
      <formula>$M29&lt;0</formula>
    </cfRule>
  </conditionalFormatting>
  <conditionalFormatting sqref="C29">
    <cfRule type="expression" dxfId="53" priority="49">
      <formula>#REF!&lt;0</formula>
    </cfRule>
  </conditionalFormatting>
  <conditionalFormatting sqref="C30:C34">
    <cfRule type="expression" dxfId="52" priority="1">
      <formula>$M30&lt;0</formula>
    </cfRule>
  </conditionalFormatting>
  <conditionalFormatting sqref="C35">
    <cfRule type="expression" dxfId="51" priority="4">
      <formula>#REF!&lt;0</formula>
    </cfRule>
  </conditionalFormatting>
  <conditionalFormatting sqref="C36:C47">
    <cfRule type="expression" dxfId="50" priority="6">
      <formula>$M36&lt;0</formula>
    </cfRule>
  </conditionalFormatting>
  <conditionalFormatting sqref="M4:M47">
    <cfRule type="cellIs" dxfId="49" priority="22" operator="lessThan">
      <formula>0</formula>
    </cfRule>
  </conditionalFormatting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52"/>
  <sheetViews>
    <sheetView showGridLines="0" topLeftCell="A2" workbookViewId="0">
      <selection activeCell="M43" sqref="M43"/>
    </sheetView>
  </sheetViews>
  <sheetFormatPr baseColWidth="10" defaultColWidth="8.83203125" defaultRowHeight="15" x14ac:dyDescent="0.2"/>
  <cols>
    <col min="1" max="1" width="6.5" style="1" customWidth="1"/>
    <col min="2" max="2" width="12.1640625" style="26" customWidth="1"/>
    <col min="3" max="3" width="18.5" style="1" bestFit="1" customWidth="1"/>
    <col min="4" max="7" width="12.1640625" customWidth="1"/>
    <col min="8" max="8" width="12.1640625" style="22" customWidth="1"/>
    <col min="9" max="13" width="12.1640625" customWidth="1"/>
    <col min="14" max="14" width="12.5" bestFit="1" customWidth="1"/>
    <col min="15" max="15" width="14.5" customWidth="1"/>
    <col min="16" max="17" width="6" style="1" customWidth="1"/>
    <col min="18" max="18" width="12.5" bestFit="1" customWidth="1"/>
    <col min="19" max="19" width="10.6640625" customWidth="1"/>
  </cols>
  <sheetData>
    <row r="1" spans="1:22" x14ac:dyDescent="0.2">
      <c r="A1" s="4" t="s">
        <v>0</v>
      </c>
      <c r="B1" s="108">
        <f>'Mon AM'!B1+2</f>
        <v>46120</v>
      </c>
      <c r="C1" s="208"/>
      <c r="D1" s="4" t="s">
        <v>1</v>
      </c>
      <c r="E1" s="6" t="s">
        <v>2</v>
      </c>
    </row>
    <row r="3" spans="1:22" x14ac:dyDescent="0.2">
      <c r="A3" s="4"/>
      <c r="B3" s="23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101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28" t="s">
        <v>16</v>
      </c>
      <c r="P3" s="27"/>
      <c r="Q3" s="27"/>
    </row>
    <row r="4" spans="1:22" x14ac:dyDescent="0.2">
      <c r="A4" s="10"/>
      <c r="B4" s="24" t="s">
        <v>17</v>
      </c>
      <c r="C4" s="10" t="s">
        <v>18</v>
      </c>
      <c r="D4" s="11">
        <v>267</v>
      </c>
      <c r="E4" s="11">
        <f t="shared" ref="E4:E47" si="0">IF(AND(VALUE(B4)&lt;100, D4&gt;0),D4*0.5,D4*0.25)</f>
        <v>133.5</v>
      </c>
      <c r="F4" s="11">
        <f t="shared" ref="F4:F47" si="1">IF(P4="C",Q4,IF(AND(VALUE(B4)&lt;100, D4&gt;0),12,IF(D4&gt;0,2,0)))</f>
        <v>12</v>
      </c>
      <c r="G4" s="11">
        <v>2.75</v>
      </c>
      <c r="H4" s="11">
        <v>4.25</v>
      </c>
      <c r="I4" s="31">
        <v>0</v>
      </c>
      <c r="J4" s="31">
        <v>76.959999999999994</v>
      </c>
      <c r="K4" s="31">
        <v>0</v>
      </c>
      <c r="L4" s="29">
        <f t="shared" ref="L4:L47" si="2">(E4+F4+G4+H4)-I4-J4-K4</f>
        <v>75.540000000000006</v>
      </c>
      <c r="M4" s="29">
        <v>76</v>
      </c>
      <c r="N4" s="169">
        <v>0</v>
      </c>
      <c r="O4" s="172"/>
      <c r="P4" s="27"/>
      <c r="Q4" s="27">
        <v>6</v>
      </c>
      <c r="R4" s="15" t="s">
        <v>19</v>
      </c>
      <c r="S4" s="12">
        <f>D48</f>
        <v>6991</v>
      </c>
      <c r="U4" s="36"/>
      <c r="V4" s="1"/>
    </row>
    <row r="5" spans="1:22" x14ac:dyDescent="0.2">
      <c r="A5" s="9"/>
      <c r="B5" s="25" t="s">
        <v>20</v>
      </c>
      <c r="C5" s="10" t="s">
        <v>21</v>
      </c>
      <c r="D5" s="7">
        <v>392</v>
      </c>
      <c r="E5" s="11">
        <f t="shared" si="0"/>
        <v>196</v>
      </c>
      <c r="F5" s="11">
        <f t="shared" si="1"/>
        <v>12</v>
      </c>
      <c r="G5" s="11">
        <v>0</v>
      </c>
      <c r="H5" s="11">
        <v>10.5</v>
      </c>
      <c r="I5" s="32">
        <v>151</v>
      </c>
      <c r="J5" s="32">
        <v>11.5</v>
      </c>
      <c r="K5" s="32">
        <v>0</v>
      </c>
      <c r="L5" s="29">
        <f t="shared" si="2"/>
        <v>56</v>
      </c>
      <c r="M5" s="29">
        <v>56</v>
      </c>
      <c r="N5" s="169">
        <v>0</v>
      </c>
      <c r="O5" s="91"/>
      <c r="P5" s="27"/>
      <c r="Q5" s="27"/>
      <c r="R5" s="16" t="s">
        <v>22</v>
      </c>
      <c r="S5" s="13">
        <f>E48</f>
        <v>3143</v>
      </c>
      <c r="U5" s="1"/>
      <c r="V5" s="1"/>
    </row>
    <row r="6" spans="1:22" x14ac:dyDescent="0.2">
      <c r="A6" s="9"/>
      <c r="B6" s="25" t="s">
        <v>23</v>
      </c>
      <c r="C6" s="10" t="s">
        <v>24</v>
      </c>
      <c r="D6" s="7">
        <v>73</v>
      </c>
      <c r="E6" s="11">
        <f t="shared" si="0"/>
        <v>18.25</v>
      </c>
      <c r="F6" s="11">
        <f t="shared" si="1"/>
        <v>2</v>
      </c>
      <c r="G6" s="11">
        <v>0</v>
      </c>
      <c r="H6" s="11">
        <v>0</v>
      </c>
      <c r="I6" s="32">
        <v>21</v>
      </c>
      <c r="J6" s="32">
        <v>0</v>
      </c>
      <c r="K6" s="32">
        <v>0</v>
      </c>
      <c r="L6" s="29">
        <f t="shared" si="2"/>
        <v>-0.75</v>
      </c>
      <c r="M6" s="29">
        <v>-1</v>
      </c>
      <c r="N6" s="169"/>
      <c r="O6" s="91"/>
      <c r="P6" s="27"/>
      <c r="Q6" s="27">
        <v>6</v>
      </c>
      <c r="R6" s="16" t="s">
        <v>7</v>
      </c>
      <c r="S6" s="13">
        <f>F48</f>
        <v>256</v>
      </c>
      <c r="U6" s="22"/>
    </row>
    <row r="7" spans="1:22" x14ac:dyDescent="0.2">
      <c r="A7" s="9"/>
      <c r="B7" s="25" t="s">
        <v>25</v>
      </c>
      <c r="C7" s="10" t="s">
        <v>26</v>
      </c>
      <c r="D7" s="7">
        <v>249</v>
      </c>
      <c r="E7" s="11">
        <f t="shared" si="0"/>
        <v>62.25</v>
      </c>
      <c r="F7" s="11">
        <f t="shared" si="1"/>
        <v>2</v>
      </c>
      <c r="G7" s="11">
        <v>5.5</v>
      </c>
      <c r="H7" s="11">
        <v>7.75</v>
      </c>
      <c r="I7" s="32">
        <v>139.46</v>
      </c>
      <c r="J7" s="32">
        <v>0</v>
      </c>
      <c r="K7" s="32">
        <v>0</v>
      </c>
      <c r="L7" s="29">
        <f t="shared" si="2"/>
        <v>-61.960000000000008</v>
      </c>
      <c r="M7" s="29">
        <v>-62</v>
      </c>
      <c r="N7" s="169"/>
      <c r="O7" s="91"/>
      <c r="P7" s="27"/>
      <c r="Q7" s="27">
        <v>6</v>
      </c>
      <c r="R7" s="16" t="s">
        <v>8</v>
      </c>
      <c r="S7" s="13">
        <f>G48</f>
        <v>71.5</v>
      </c>
      <c r="U7" s="22"/>
    </row>
    <row r="8" spans="1:22" x14ac:dyDescent="0.2">
      <c r="A8" s="9"/>
      <c r="B8" s="25" t="s">
        <v>27</v>
      </c>
      <c r="C8" s="10" t="s">
        <v>28</v>
      </c>
      <c r="D8" s="7">
        <v>310</v>
      </c>
      <c r="E8" s="11">
        <f t="shared" si="0"/>
        <v>155</v>
      </c>
      <c r="F8" s="11">
        <f t="shared" si="1"/>
        <v>12</v>
      </c>
      <c r="G8" s="11">
        <v>0</v>
      </c>
      <c r="H8" s="11">
        <v>10.5</v>
      </c>
      <c r="I8" s="32">
        <v>105.5</v>
      </c>
      <c r="J8" s="32">
        <v>0</v>
      </c>
      <c r="K8" s="32">
        <v>0</v>
      </c>
      <c r="L8" s="29">
        <f t="shared" si="2"/>
        <v>72</v>
      </c>
      <c r="M8" s="29">
        <v>72</v>
      </c>
      <c r="N8" s="169"/>
      <c r="O8" s="91"/>
      <c r="P8" s="27"/>
      <c r="Q8" s="27">
        <v>6</v>
      </c>
      <c r="R8" s="16" t="s">
        <v>9</v>
      </c>
      <c r="S8" s="13">
        <f>H48</f>
        <v>116.5</v>
      </c>
      <c r="U8" s="22"/>
    </row>
    <row r="9" spans="1:22" x14ac:dyDescent="0.2">
      <c r="A9" s="9"/>
      <c r="B9" s="25" t="s">
        <v>29</v>
      </c>
      <c r="C9" s="10" t="s">
        <v>30</v>
      </c>
      <c r="D9" s="7"/>
      <c r="E9" s="11">
        <f t="shared" si="0"/>
        <v>0</v>
      </c>
      <c r="F9" s="11">
        <f t="shared" si="1"/>
        <v>0</v>
      </c>
      <c r="G9" s="11"/>
      <c r="H9" s="11"/>
      <c r="I9" s="32"/>
      <c r="J9" s="32"/>
      <c r="K9" s="32"/>
      <c r="L9" s="29">
        <f t="shared" si="2"/>
        <v>0</v>
      </c>
      <c r="M9" s="29"/>
      <c r="N9" s="169"/>
      <c r="O9" s="91"/>
      <c r="P9" s="27"/>
      <c r="Q9" s="27">
        <v>6</v>
      </c>
      <c r="R9" s="16" t="s">
        <v>10</v>
      </c>
      <c r="S9" s="13">
        <f>I48</f>
        <v>2165.56</v>
      </c>
      <c r="U9" s="22"/>
    </row>
    <row r="10" spans="1:22" x14ac:dyDescent="0.2">
      <c r="A10" s="9"/>
      <c r="B10" s="25" t="s">
        <v>40</v>
      </c>
      <c r="C10" s="10" t="s">
        <v>32</v>
      </c>
      <c r="D10" s="7">
        <v>254</v>
      </c>
      <c r="E10" s="11">
        <f t="shared" si="0"/>
        <v>127</v>
      </c>
      <c r="F10" s="11">
        <f t="shared" si="1"/>
        <v>12</v>
      </c>
      <c r="G10" s="11">
        <v>0</v>
      </c>
      <c r="H10" s="11">
        <v>7</v>
      </c>
      <c r="I10" s="32">
        <v>63.5</v>
      </c>
      <c r="J10" s="32">
        <v>30</v>
      </c>
      <c r="K10" s="32">
        <v>0</v>
      </c>
      <c r="L10" s="29">
        <f t="shared" si="2"/>
        <v>52.5</v>
      </c>
      <c r="M10" s="29">
        <v>52</v>
      </c>
      <c r="N10" s="169">
        <v>0</v>
      </c>
      <c r="O10" s="91"/>
      <c r="P10" s="27"/>
      <c r="Q10" s="27"/>
      <c r="R10" s="16" t="s">
        <v>11</v>
      </c>
      <c r="S10" s="13">
        <f>J48</f>
        <v>1470.84</v>
      </c>
      <c r="U10" s="22"/>
    </row>
    <row r="11" spans="1:22" x14ac:dyDescent="0.2">
      <c r="A11" s="9"/>
      <c r="B11" s="25" t="s">
        <v>33</v>
      </c>
      <c r="C11" s="10" t="s">
        <v>34</v>
      </c>
      <c r="D11" s="7">
        <v>175</v>
      </c>
      <c r="E11" s="11">
        <f t="shared" si="0"/>
        <v>43.75</v>
      </c>
      <c r="F11" s="11">
        <f t="shared" si="1"/>
        <v>2</v>
      </c>
      <c r="G11" s="11">
        <v>2.75</v>
      </c>
      <c r="H11" s="11">
        <v>4.25</v>
      </c>
      <c r="I11" s="32">
        <v>16</v>
      </c>
      <c r="J11" s="32">
        <v>69.05</v>
      </c>
      <c r="K11" s="32">
        <v>0</v>
      </c>
      <c r="L11" s="29">
        <f t="shared" si="2"/>
        <v>-32.299999999999997</v>
      </c>
      <c r="M11" s="29">
        <v>-32</v>
      </c>
      <c r="N11" s="169"/>
      <c r="O11" s="91"/>
      <c r="P11" s="27"/>
      <c r="Q11" s="27"/>
      <c r="R11" s="16" t="s">
        <v>12</v>
      </c>
      <c r="S11" s="13">
        <f>K48</f>
        <v>0</v>
      </c>
      <c r="U11" s="22"/>
    </row>
    <row r="12" spans="1:22" x14ac:dyDescent="0.2">
      <c r="A12" s="9"/>
      <c r="B12" s="25" t="s">
        <v>35</v>
      </c>
      <c r="C12" s="10" t="s">
        <v>36</v>
      </c>
      <c r="D12" s="7">
        <v>184</v>
      </c>
      <c r="E12" s="11">
        <f t="shared" si="0"/>
        <v>46</v>
      </c>
      <c r="F12" s="11">
        <f t="shared" si="1"/>
        <v>2</v>
      </c>
      <c r="G12" s="11">
        <v>0</v>
      </c>
      <c r="H12" s="11">
        <v>7</v>
      </c>
      <c r="I12" s="32">
        <v>38</v>
      </c>
      <c r="J12" s="32">
        <v>0</v>
      </c>
      <c r="K12" s="32">
        <v>0</v>
      </c>
      <c r="L12" s="29">
        <f t="shared" si="2"/>
        <v>17</v>
      </c>
      <c r="M12" s="29">
        <v>17</v>
      </c>
      <c r="N12" s="169"/>
      <c r="O12" s="91"/>
      <c r="P12" s="27"/>
      <c r="Q12" s="27">
        <v>6</v>
      </c>
      <c r="R12" s="17" t="s">
        <v>37</v>
      </c>
      <c r="S12" s="14">
        <f>N48</f>
        <v>0</v>
      </c>
      <c r="U12" s="22"/>
    </row>
    <row r="13" spans="1:22" x14ac:dyDescent="0.2">
      <c r="A13" s="9"/>
      <c r="B13" s="25" t="s">
        <v>38</v>
      </c>
      <c r="C13" s="10" t="s">
        <v>39</v>
      </c>
      <c r="D13" s="7">
        <v>119</v>
      </c>
      <c r="E13" s="11">
        <f t="shared" si="0"/>
        <v>29.75</v>
      </c>
      <c r="F13" s="11">
        <f t="shared" si="1"/>
        <v>2</v>
      </c>
      <c r="G13" s="11">
        <v>0</v>
      </c>
      <c r="H13" s="11">
        <v>0</v>
      </c>
      <c r="I13" s="32">
        <v>13</v>
      </c>
      <c r="J13" s="32">
        <v>28.75</v>
      </c>
      <c r="K13" s="32">
        <v>0</v>
      </c>
      <c r="L13" s="29">
        <f t="shared" si="2"/>
        <v>-10</v>
      </c>
      <c r="M13" s="29">
        <v>-10</v>
      </c>
      <c r="N13" s="169"/>
      <c r="O13" s="91"/>
      <c r="P13" s="27"/>
      <c r="Q13" s="27">
        <v>6</v>
      </c>
      <c r="R13" s="18"/>
      <c r="S13" s="30">
        <f>S5+S6+S7-S9-S10-S11-S12</f>
        <v>-165.89999999999986</v>
      </c>
      <c r="U13" s="22"/>
    </row>
    <row r="14" spans="1:22" x14ac:dyDescent="0.2">
      <c r="A14" s="9"/>
      <c r="B14" s="25" t="s">
        <v>40</v>
      </c>
      <c r="C14" s="10" t="s">
        <v>41</v>
      </c>
      <c r="D14" s="7">
        <v>229</v>
      </c>
      <c r="E14" s="11">
        <f t="shared" si="0"/>
        <v>114.5</v>
      </c>
      <c r="F14" s="11">
        <f t="shared" si="1"/>
        <v>12</v>
      </c>
      <c r="G14" s="11">
        <v>11</v>
      </c>
      <c r="H14" s="11">
        <v>0.75</v>
      </c>
      <c r="I14" s="32">
        <v>132.82</v>
      </c>
      <c r="J14" s="32">
        <v>88.26</v>
      </c>
      <c r="K14" s="32">
        <v>0</v>
      </c>
      <c r="L14" s="29">
        <f t="shared" si="2"/>
        <v>-82.83</v>
      </c>
      <c r="M14" s="29">
        <v>-83</v>
      </c>
      <c r="N14" s="169"/>
      <c r="O14" s="91"/>
      <c r="P14" s="27"/>
      <c r="Q14" s="27">
        <v>6</v>
      </c>
      <c r="R14" s="19" t="s">
        <v>42</v>
      </c>
      <c r="S14" s="20">
        <f>M48</f>
        <v>-49</v>
      </c>
      <c r="U14" s="22"/>
    </row>
    <row r="15" spans="1:22" x14ac:dyDescent="0.2">
      <c r="A15" s="9"/>
      <c r="B15" s="25" t="s">
        <v>43</v>
      </c>
      <c r="C15" s="10" t="s">
        <v>44</v>
      </c>
      <c r="D15" s="7">
        <v>195</v>
      </c>
      <c r="E15" s="11">
        <f t="shared" si="0"/>
        <v>97.5</v>
      </c>
      <c r="F15" s="11">
        <f t="shared" si="1"/>
        <v>12</v>
      </c>
      <c r="G15" s="11">
        <v>0</v>
      </c>
      <c r="H15" s="11">
        <v>7</v>
      </c>
      <c r="I15" s="32">
        <v>80.5</v>
      </c>
      <c r="J15" s="32">
        <v>0</v>
      </c>
      <c r="K15" s="32">
        <v>0</v>
      </c>
      <c r="L15" s="29">
        <f t="shared" si="2"/>
        <v>36</v>
      </c>
      <c r="M15" s="29">
        <v>36</v>
      </c>
      <c r="N15" s="169"/>
      <c r="O15" s="91"/>
      <c r="P15" s="27"/>
      <c r="Q15" s="27"/>
      <c r="U15" s="22"/>
    </row>
    <row r="16" spans="1:22" x14ac:dyDescent="0.2">
      <c r="A16" s="9"/>
      <c r="B16" s="25" t="s">
        <v>45</v>
      </c>
      <c r="C16" s="10" t="s">
        <v>46</v>
      </c>
      <c r="D16" s="7">
        <v>282</v>
      </c>
      <c r="E16" s="11">
        <f t="shared" si="0"/>
        <v>141</v>
      </c>
      <c r="F16" s="11">
        <f t="shared" si="1"/>
        <v>12</v>
      </c>
      <c r="G16" s="11">
        <v>5.5</v>
      </c>
      <c r="H16" s="11">
        <v>5</v>
      </c>
      <c r="I16" s="32">
        <v>0</v>
      </c>
      <c r="J16" s="32">
        <v>32.799999999999997</v>
      </c>
      <c r="K16" s="32">
        <v>0</v>
      </c>
      <c r="L16" s="29">
        <f t="shared" si="2"/>
        <v>130.69999999999999</v>
      </c>
      <c r="M16" s="29">
        <v>131</v>
      </c>
      <c r="N16" s="169"/>
      <c r="O16" s="91"/>
      <c r="P16" s="27"/>
      <c r="Q16" s="27">
        <v>0</v>
      </c>
      <c r="U16" s="22"/>
    </row>
    <row r="17" spans="1:21" x14ac:dyDescent="0.2">
      <c r="A17" s="9"/>
      <c r="B17" s="25" t="s">
        <v>47</v>
      </c>
      <c r="C17" s="10" t="s">
        <v>48</v>
      </c>
      <c r="D17" s="7"/>
      <c r="E17" s="11">
        <f t="shared" si="0"/>
        <v>0</v>
      </c>
      <c r="F17" s="11">
        <f t="shared" si="1"/>
        <v>0</v>
      </c>
      <c r="G17" s="11"/>
      <c r="H17" s="11"/>
      <c r="I17" s="32"/>
      <c r="J17" s="32"/>
      <c r="K17" s="32"/>
      <c r="L17" s="29">
        <f t="shared" si="2"/>
        <v>0</v>
      </c>
      <c r="M17" s="29"/>
      <c r="N17" s="169"/>
      <c r="O17" s="91"/>
      <c r="P17" s="27"/>
      <c r="Q17" s="27">
        <v>6</v>
      </c>
      <c r="R17" s="34"/>
      <c r="S17" s="34"/>
      <c r="T17" s="34"/>
      <c r="U17" s="22"/>
    </row>
    <row r="18" spans="1:21" x14ac:dyDescent="0.2">
      <c r="A18" s="9"/>
      <c r="B18" s="25" t="s">
        <v>49</v>
      </c>
      <c r="C18" s="10" t="s">
        <v>50</v>
      </c>
      <c r="D18" s="7"/>
      <c r="E18" s="11">
        <f t="shared" si="0"/>
        <v>0</v>
      </c>
      <c r="F18" s="11">
        <f t="shared" si="1"/>
        <v>0</v>
      </c>
      <c r="G18" s="11"/>
      <c r="H18" s="11"/>
      <c r="I18" s="32"/>
      <c r="J18" s="32"/>
      <c r="K18" s="32"/>
      <c r="L18" s="29">
        <f t="shared" si="2"/>
        <v>0</v>
      </c>
      <c r="M18" s="29"/>
      <c r="N18" s="169"/>
      <c r="O18" s="91"/>
      <c r="P18" s="27"/>
      <c r="Q18" s="27">
        <v>6</v>
      </c>
      <c r="R18" s="15" t="s">
        <v>51</v>
      </c>
      <c r="S18" s="95">
        <f t="array" ref="S18">SUMPRODUCT((VALUE(B4:B47)&lt;100)*(D4:D47&gt;0))</f>
        <v>20</v>
      </c>
      <c r="T18" s="35"/>
      <c r="U18" s="22"/>
    </row>
    <row r="19" spans="1:21" x14ac:dyDescent="0.2">
      <c r="A19" s="9"/>
      <c r="B19" s="25" t="s">
        <v>27</v>
      </c>
      <c r="C19" s="10" t="s">
        <v>53</v>
      </c>
      <c r="D19" s="7"/>
      <c r="E19" s="11">
        <f t="shared" si="0"/>
        <v>0</v>
      </c>
      <c r="F19" s="11">
        <f t="shared" si="1"/>
        <v>0</v>
      </c>
      <c r="G19" s="11"/>
      <c r="H19" s="11"/>
      <c r="I19" s="32"/>
      <c r="J19" s="32"/>
      <c r="K19" s="32"/>
      <c r="L19" s="29">
        <f t="shared" si="2"/>
        <v>0</v>
      </c>
      <c r="M19" s="29"/>
      <c r="N19" s="170"/>
      <c r="O19" s="173"/>
      <c r="P19" s="27"/>
      <c r="Q19" s="27">
        <v>6</v>
      </c>
      <c r="R19" s="16" t="s">
        <v>54</v>
      </c>
      <c r="S19" s="96">
        <f t="array" ref="S19">SUMPRODUCT((VALUE(B4:B47)&gt;100)*(D4:D47&gt;0))</f>
        <v>8</v>
      </c>
      <c r="U19" s="22"/>
    </row>
    <row r="20" spans="1:21" x14ac:dyDescent="0.2">
      <c r="A20" s="9"/>
      <c r="B20" s="25" t="s">
        <v>55</v>
      </c>
      <c r="C20" s="10" t="s">
        <v>56</v>
      </c>
      <c r="D20" s="7">
        <v>163</v>
      </c>
      <c r="E20" s="11">
        <f t="shared" si="0"/>
        <v>81.5</v>
      </c>
      <c r="F20" s="11">
        <f t="shared" si="1"/>
        <v>12</v>
      </c>
      <c r="G20" s="11">
        <v>5.5</v>
      </c>
      <c r="H20" s="11">
        <v>1.5</v>
      </c>
      <c r="I20" s="32">
        <v>19</v>
      </c>
      <c r="J20" s="32">
        <v>107.56</v>
      </c>
      <c r="K20" s="32">
        <v>0</v>
      </c>
      <c r="L20" s="29">
        <f t="shared" si="2"/>
        <v>-26.060000000000002</v>
      </c>
      <c r="M20" s="29">
        <v>-26</v>
      </c>
      <c r="N20" s="169"/>
      <c r="O20" s="91"/>
      <c r="P20" s="27"/>
      <c r="Q20" s="27">
        <v>6</v>
      </c>
      <c r="R20" s="17" t="s">
        <v>57</v>
      </c>
      <c r="S20" s="97">
        <f>S18+S19</f>
        <v>28</v>
      </c>
      <c r="U20" s="22"/>
    </row>
    <row r="21" spans="1:21" x14ac:dyDescent="0.2">
      <c r="A21" s="9"/>
      <c r="B21" s="25" t="s">
        <v>40</v>
      </c>
      <c r="C21" s="10" t="s">
        <v>58</v>
      </c>
      <c r="D21" s="7"/>
      <c r="E21" s="11">
        <f t="shared" si="0"/>
        <v>0</v>
      </c>
      <c r="F21" s="11">
        <f t="shared" si="1"/>
        <v>0</v>
      </c>
      <c r="G21" s="11"/>
      <c r="H21" s="11"/>
      <c r="I21" s="32"/>
      <c r="J21" s="32"/>
      <c r="K21" s="32"/>
      <c r="L21" s="29">
        <f t="shared" si="2"/>
        <v>0</v>
      </c>
      <c r="M21" s="29"/>
      <c r="N21" s="169"/>
      <c r="O21" s="91"/>
      <c r="P21" s="27"/>
      <c r="Q21" s="27">
        <v>5</v>
      </c>
      <c r="U21" s="22"/>
    </row>
    <row r="22" spans="1:21" x14ac:dyDescent="0.2">
      <c r="A22" s="9"/>
      <c r="B22" s="25" t="s">
        <v>49</v>
      </c>
      <c r="C22" s="10" t="s">
        <v>60</v>
      </c>
      <c r="D22" s="7">
        <v>175</v>
      </c>
      <c r="E22" s="11">
        <f t="shared" si="0"/>
        <v>87.5</v>
      </c>
      <c r="F22" s="11">
        <f t="shared" si="1"/>
        <v>12</v>
      </c>
      <c r="G22" s="11">
        <v>0</v>
      </c>
      <c r="H22" s="11">
        <v>0</v>
      </c>
      <c r="I22" s="32">
        <v>12</v>
      </c>
      <c r="J22" s="32">
        <v>54.65</v>
      </c>
      <c r="K22" s="32">
        <v>0</v>
      </c>
      <c r="L22" s="29">
        <f t="shared" si="2"/>
        <v>32.85</v>
      </c>
      <c r="M22" s="29">
        <v>33</v>
      </c>
      <c r="N22" s="169"/>
      <c r="O22" s="91"/>
      <c r="P22" s="27"/>
      <c r="Q22" s="27">
        <v>6</v>
      </c>
      <c r="U22" s="22"/>
    </row>
    <row r="23" spans="1:21" x14ac:dyDescent="0.2">
      <c r="A23" s="9"/>
      <c r="B23" s="103" t="s">
        <v>61</v>
      </c>
      <c r="C23" s="10" t="s">
        <v>62</v>
      </c>
      <c r="D23" s="7">
        <v>240</v>
      </c>
      <c r="E23" s="11">
        <f t="shared" si="0"/>
        <v>60</v>
      </c>
      <c r="F23" s="11">
        <f t="shared" si="1"/>
        <v>2</v>
      </c>
      <c r="G23" s="11">
        <v>0</v>
      </c>
      <c r="H23" s="11">
        <v>10.5</v>
      </c>
      <c r="I23" s="32">
        <v>170.5</v>
      </c>
      <c r="J23" s="32">
        <v>25.4</v>
      </c>
      <c r="K23" s="32">
        <v>0</v>
      </c>
      <c r="L23" s="29">
        <f t="shared" si="2"/>
        <v>-123.4</v>
      </c>
      <c r="M23" s="29">
        <v>-123</v>
      </c>
      <c r="N23" s="169"/>
      <c r="O23" s="91"/>
      <c r="P23" s="27"/>
      <c r="Q23" s="27">
        <v>6</v>
      </c>
      <c r="U23" s="22"/>
    </row>
    <row r="24" spans="1:21" x14ac:dyDescent="0.2">
      <c r="A24" s="102"/>
      <c r="B24" s="25" t="s">
        <v>63</v>
      </c>
      <c r="C24" s="10" t="s">
        <v>64</v>
      </c>
      <c r="D24" s="7">
        <v>738</v>
      </c>
      <c r="E24" s="11">
        <f t="shared" si="0"/>
        <v>369</v>
      </c>
      <c r="F24" s="11">
        <f t="shared" si="1"/>
        <v>12</v>
      </c>
      <c r="G24" s="11">
        <v>5.5</v>
      </c>
      <c r="H24" s="11">
        <v>11.25</v>
      </c>
      <c r="I24" s="32">
        <v>218</v>
      </c>
      <c r="J24" s="32">
        <v>481.88</v>
      </c>
      <c r="K24" s="32">
        <v>0</v>
      </c>
      <c r="L24" s="29">
        <f t="shared" si="2"/>
        <v>-302.13</v>
      </c>
      <c r="M24" s="29">
        <v>-302</v>
      </c>
      <c r="N24" s="169"/>
      <c r="O24" s="91"/>
      <c r="P24" s="27"/>
      <c r="Q24" s="27"/>
      <c r="U24" s="22"/>
    </row>
    <row r="25" spans="1:21" x14ac:dyDescent="0.2">
      <c r="A25" s="9"/>
      <c r="B25" s="25" t="s">
        <v>65</v>
      </c>
      <c r="C25" s="10" t="s">
        <v>66</v>
      </c>
      <c r="D25" s="7">
        <v>250</v>
      </c>
      <c r="E25" s="11">
        <f t="shared" si="0"/>
        <v>125</v>
      </c>
      <c r="F25" s="11">
        <f t="shared" si="1"/>
        <v>12</v>
      </c>
      <c r="G25" s="11">
        <v>0</v>
      </c>
      <c r="H25" s="11">
        <v>0</v>
      </c>
      <c r="I25" s="32">
        <v>32</v>
      </c>
      <c r="J25" s="32">
        <v>9.1999999999999993</v>
      </c>
      <c r="K25" s="32">
        <v>0</v>
      </c>
      <c r="L25" s="29">
        <f t="shared" si="2"/>
        <v>95.8</v>
      </c>
      <c r="M25" s="29">
        <v>96</v>
      </c>
      <c r="N25" s="169"/>
      <c r="O25" s="91"/>
      <c r="P25" s="27"/>
      <c r="Q25" s="27">
        <v>0</v>
      </c>
      <c r="U25" s="22"/>
    </row>
    <row r="26" spans="1:21" x14ac:dyDescent="0.2">
      <c r="A26" s="9"/>
      <c r="B26" s="25" t="s">
        <v>55</v>
      </c>
      <c r="C26" s="10" t="s">
        <v>107</v>
      </c>
      <c r="D26" s="7"/>
      <c r="E26" s="11">
        <f t="shared" si="0"/>
        <v>0</v>
      </c>
      <c r="F26" s="11">
        <f t="shared" si="1"/>
        <v>0</v>
      </c>
      <c r="G26" s="11"/>
      <c r="H26" s="11"/>
      <c r="I26" s="32"/>
      <c r="J26" s="32"/>
      <c r="K26" s="32"/>
      <c r="L26" s="29">
        <f t="shared" si="2"/>
        <v>0</v>
      </c>
      <c r="M26" s="29"/>
      <c r="N26" s="169"/>
      <c r="O26" s="91"/>
      <c r="P26" s="27"/>
      <c r="Q26" s="27">
        <v>6</v>
      </c>
      <c r="R26" s="212"/>
      <c r="S26" s="213"/>
      <c r="U26" s="22"/>
    </row>
    <row r="27" spans="1:21" x14ac:dyDescent="0.2">
      <c r="A27" s="9"/>
      <c r="B27" s="25" t="s">
        <v>55</v>
      </c>
      <c r="C27" s="10" t="s">
        <v>68</v>
      </c>
      <c r="D27" s="7">
        <v>292</v>
      </c>
      <c r="E27" s="11">
        <f t="shared" si="0"/>
        <v>146</v>
      </c>
      <c r="F27" s="11">
        <f t="shared" si="1"/>
        <v>12</v>
      </c>
      <c r="G27" s="11">
        <v>5.5</v>
      </c>
      <c r="H27" s="11">
        <v>1.5</v>
      </c>
      <c r="I27" s="32">
        <v>75.959999999999994</v>
      </c>
      <c r="J27" s="32">
        <v>123.05</v>
      </c>
      <c r="K27" s="32">
        <v>0</v>
      </c>
      <c r="L27" s="29">
        <f t="shared" si="2"/>
        <v>-34.009999999999991</v>
      </c>
      <c r="M27" s="29">
        <v>-34</v>
      </c>
      <c r="N27" s="169"/>
      <c r="O27" s="91"/>
      <c r="P27" s="27"/>
      <c r="Q27" s="27"/>
      <c r="S27" s="22"/>
      <c r="T27" s="27">
        <v>6</v>
      </c>
      <c r="U27" s="22"/>
    </row>
    <row r="28" spans="1:21" x14ac:dyDescent="0.2">
      <c r="A28" s="9"/>
      <c r="B28" s="25" t="s">
        <v>69</v>
      </c>
      <c r="C28" s="10" t="s">
        <v>70</v>
      </c>
      <c r="D28" s="7"/>
      <c r="E28" s="11">
        <f t="shared" si="0"/>
        <v>0</v>
      </c>
      <c r="F28" s="11">
        <f t="shared" si="1"/>
        <v>0</v>
      </c>
      <c r="G28" s="11"/>
      <c r="H28" s="11"/>
      <c r="I28" s="32"/>
      <c r="J28" s="32"/>
      <c r="K28" s="32"/>
      <c r="L28" s="29">
        <f t="shared" si="2"/>
        <v>0</v>
      </c>
      <c r="M28" s="29"/>
      <c r="N28" s="169"/>
      <c r="O28" s="91"/>
      <c r="P28" s="27"/>
      <c r="Q28" s="27">
        <v>6</v>
      </c>
      <c r="S28" s="22"/>
      <c r="T28" s="27">
        <v>4</v>
      </c>
      <c r="U28" s="22"/>
    </row>
    <row r="29" spans="1:21" x14ac:dyDescent="0.2">
      <c r="A29" s="9"/>
      <c r="B29" s="25" t="s">
        <v>71</v>
      </c>
      <c r="C29" s="10" t="s">
        <v>72</v>
      </c>
      <c r="D29" s="7">
        <v>224</v>
      </c>
      <c r="E29" s="11">
        <f t="shared" si="0"/>
        <v>56</v>
      </c>
      <c r="F29" s="11">
        <f t="shared" si="1"/>
        <v>2</v>
      </c>
      <c r="G29" s="11">
        <v>8.25</v>
      </c>
      <c r="H29" s="11">
        <v>1.5</v>
      </c>
      <c r="I29" s="32">
        <v>8.4</v>
      </c>
      <c r="J29" s="32">
        <v>63.86</v>
      </c>
      <c r="K29" s="32">
        <v>0</v>
      </c>
      <c r="L29" s="29">
        <f t="shared" si="2"/>
        <v>-4.509999999999998</v>
      </c>
      <c r="M29" s="29">
        <v>-5</v>
      </c>
      <c r="N29" s="170"/>
      <c r="O29" s="91"/>
      <c r="P29" s="27"/>
      <c r="Q29" s="27">
        <v>6</v>
      </c>
      <c r="S29" s="22"/>
      <c r="U29" s="22"/>
    </row>
    <row r="30" spans="1:21" x14ac:dyDescent="0.2">
      <c r="A30" s="9"/>
      <c r="B30" s="25" t="s">
        <v>73</v>
      </c>
      <c r="C30" s="10" t="s">
        <v>74</v>
      </c>
      <c r="D30" s="7"/>
      <c r="E30" s="11">
        <f t="shared" si="0"/>
        <v>0</v>
      </c>
      <c r="F30" s="11">
        <f t="shared" si="1"/>
        <v>0</v>
      </c>
      <c r="G30" s="11"/>
      <c r="H30" s="11"/>
      <c r="I30" s="32"/>
      <c r="J30" s="32"/>
      <c r="K30" s="32"/>
      <c r="L30" s="29">
        <f t="shared" si="2"/>
        <v>0</v>
      </c>
      <c r="M30" s="29"/>
      <c r="N30" s="169"/>
      <c r="O30" s="91"/>
      <c r="P30" s="27"/>
      <c r="Q30" s="27">
        <v>0</v>
      </c>
      <c r="R30" s="18"/>
      <c r="S30" s="3"/>
      <c r="U30" s="22"/>
    </row>
    <row r="31" spans="1:21" x14ac:dyDescent="0.2">
      <c r="A31" s="9"/>
      <c r="B31" s="25" t="s">
        <v>75</v>
      </c>
      <c r="C31" s="10" t="s">
        <v>76</v>
      </c>
      <c r="D31" s="7">
        <v>260</v>
      </c>
      <c r="E31" s="11">
        <f t="shared" si="0"/>
        <v>130</v>
      </c>
      <c r="F31" s="11">
        <f t="shared" si="1"/>
        <v>12</v>
      </c>
      <c r="G31" s="11">
        <v>2.75</v>
      </c>
      <c r="H31" s="11">
        <v>4.25</v>
      </c>
      <c r="I31" s="32">
        <v>156.41999999999999</v>
      </c>
      <c r="J31" s="32">
        <v>60.96</v>
      </c>
      <c r="K31" s="32">
        <v>0</v>
      </c>
      <c r="L31" s="29">
        <f t="shared" si="2"/>
        <v>-68.38</v>
      </c>
      <c r="M31" s="29">
        <v>-68</v>
      </c>
      <c r="N31" s="169"/>
      <c r="O31" s="91"/>
      <c r="P31" s="27"/>
      <c r="Q31" s="27">
        <v>0</v>
      </c>
      <c r="U31" s="22"/>
    </row>
    <row r="32" spans="1:21" x14ac:dyDescent="0.2">
      <c r="A32" s="9"/>
      <c r="B32" s="25" t="s">
        <v>77</v>
      </c>
      <c r="C32" s="10" t="s">
        <v>78</v>
      </c>
      <c r="D32" s="7"/>
      <c r="E32" s="11">
        <f t="shared" si="0"/>
        <v>0</v>
      </c>
      <c r="F32" s="11">
        <f t="shared" si="1"/>
        <v>0</v>
      </c>
      <c r="G32" s="11"/>
      <c r="H32" s="11"/>
      <c r="I32" s="32"/>
      <c r="J32" s="32"/>
      <c r="K32" s="32"/>
      <c r="L32" s="29">
        <f t="shared" si="2"/>
        <v>0</v>
      </c>
      <c r="M32" s="29"/>
      <c r="N32" s="169"/>
      <c r="O32" s="91"/>
      <c r="P32" s="27"/>
      <c r="Q32" s="27">
        <v>6</v>
      </c>
      <c r="U32" s="22"/>
    </row>
    <row r="33" spans="1:21" x14ac:dyDescent="0.2">
      <c r="A33" s="9"/>
      <c r="B33" s="25" t="s">
        <v>31</v>
      </c>
      <c r="C33" s="10" t="s">
        <v>79</v>
      </c>
      <c r="D33" s="7"/>
      <c r="E33" s="11">
        <f t="shared" si="0"/>
        <v>0</v>
      </c>
      <c r="F33" s="11">
        <f t="shared" si="1"/>
        <v>0</v>
      </c>
      <c r="G33" s="11"/>
      <c r="H33" s="11"/>
      <c r="I33" s="32"/>
      <c r="J33" s="32"/>
      <c r="K33" s="32"/>
      <c r="L33" s="29">
        <f t="shared" si="2"/>
        <v>0</v>
      </c>
      <c r="M33" s="29"/>
      <c r="N33" s="169"/>
      <c r="O33" s="91"/>
      <c r="P33" s="27"/>
      <c r="Q33" s="27"/>
      <c r="U33" s="22"/>
    </row>
    <row r="34" spans="1:21" x14ac:dyDescent="0.2">
      <c r="A34" s="9"/>
      <c r="B34" s="25" t="s">
        <v>43</v>
      </c>
      <c r="C34" s="10" t="s">
        <v>80</v>
      </c>
      <c r="D34" s="7">
        <v>252</v>
      </c>
      <c r="E34" s="11">
        <f t="shared" si="0"/>
        <v>126</v>
      </c>
      <c r="F34" s="11">
        <f t="shared" si="1"/>
        <v>12</v>
      </c>
      <c r="G34" s="11">
        <v>2.75</v>
      </c>
      <c r="H34" s="11">
        <v>0.75</v>
      </c>
      <c r="I34" s="32">
        <v>115.27</v>
      </c>
      <c r="J34" s="32">
        <v>0</v>
      </c>
      <c r="K34" s="32">
        <v>0</v>
      </c>
      <c r="L34" s="29">
        <f t="shared" si="2"/>
        <v>26.230000000000004</v>
      </c>
      <c r="M34" s="29">
        <v>26</v>
      </c>
      <c r="N34" s="169"/>
      <c r="O34" s="91"/>
      <c r="P34" s="27"/>
      <c r="Q34" s="27"/>
      <c r="U34" s="22"/>
    </row>
    <row r="35" spans="1:21" x14ac:dyDescent="0.2">
      <c r="A35" s="9"/>
      <c r="B35" s="25" t="s">
        <v>27</v>
      </c>
      <c r="C35" s="10" t="s">
        <v>81</v>
      </c>
      <c r="D35" s="7">
        <v>202</v>
      </c>
      <c r="E35" s="11">
        <f t="shared" si="0"/>
        <v>101</v>
      </c>
      <c r="F35" s="11">
        <f t="shared" si="1"/>
        <v>12</v>
      </c>
      <c r="G35" s="11">
        <v>0</v>
      </c>
      <c r="H35" s="11">
        <v>7</v>
      </c>
      <c r="I35" s="32">
        <v>138.6</v>
      </c>
      <c r="J35" s="32">
        <v>0</v>
      </c>
      <c r="K35" s="32">
        <v>0</v>
      </c>
      <c r="L35" s="29">
        <f t="shared" si="2"/>
        <v>-18.599999999999994</v>
      </c>
      <c r="M35" s="29">
        <v>-19</v>
      </c>
      <c r="N35" s="169"/>
      <c r="O35" s="91"/>
      <c r="P35" s="27"/>
      <c r="Q35" s="27"/>
      <c r="U35" s="22"/>
    </row>
    <row r="36" spans="1:21" x14ac:dyDescent="0.2">
      <c r="A36" s="9"/>
      <c r="B36" s="25" t="s">
        <v>82</v>
      </c>
      <c r="C36" s="10" t="s">
        <v>83</v>
      </c>
      <c r="D36" s="7">
        <v>146</v>
      </c>
      <c r="E36" s="11">
        <f t="shared" si="0"/>
        <v>36.5</v>
      </c>
      <c r="F36" s="11">
        <f t="shared" si="1"/>
        <v>2</v>
      </c>
      <c r="G36" s="11">
        <v>0</v>
      </c>
      <c r="H36" s="11">
        <v>0</v>
      </c>
      <c r="I36" s="32">
        <v>24</v>
      </c>
      <c r="J36" s="32">
        <v>9.1999999999999993</v>
      </c>
      <c r="K36" s="32">
        <v>0</v>
      </c>
      <c r="L36" s="29">
        <f t="shared" si="2"/>
        <v>5.3000000000000007</v>
      </c>
      <c r="M36" s="29">
        <v>5</v>
      </c>
      <c r="N36" s="169"/>
      <c r="O36" s="91"/>
      <c r="P36" s="27"/>
      <c r="Q36" s="27"/>
      <c r="U36" s="22"/>
    </row>
    <row r="37" spans="1:21" x14ac:dyDescent="0.2">
      <c r="A37" s="9"/>
      <c r="B37" s="25" t="s">
        <v>84</v>
      </c>
      <c r="C37" s="10" t="s">
        <v>85</v>
      </c>
      <c r="D37" s="7"/>
      <c r="E37" s="11">
        <f t="shared" si="0"/>
        <v>0</v>
      </c>
      <c r="F37" s="11">
        <f t="shared" si="1"/>
        <v>0</v>
      </c>
      <c r="G37" s="11"/>
      <c r="H37" s="11"/>
      <c r="I37" s="32"/>
      <c r="J37" s="32"/>
      <c r="K37" s="32"/>
      <c r="L37" s="29">
        <f t="shared" si="2"/>
        <v>0</v>
      </c>
      <c r="M37" s="29"/>
      <c r="N37" s="169"/>
      <c r="O37" s="91"/>
      <c r="P37" s="27" t="s">
        <v>59</v>
      </c>
      <c r="Q37" s="27"/>
      <c r="U37" s="22"/>
    </row>
    <row r="38" spans="1:21" x14ac:dyDescent="0.2">
      <c r="A38" s="9"/>
      <c r="B38" s="25" t="s">
        <v>86</v>
      </c>
      <c r="C38" s="10" t="s">
        <v>87</v>
      </c>
      <c r="D38" s="8"/>
      <c r="E38" s="11">
        <f t="shared" si="0"/>
        <v>0</v>
      </c>
      <c r="F38" s="11">
        <f t="shared" si="1"/>
        <v>0</v>
      </c>
      <c r="G38" s="11"/>
      <c r="H38" s="11"/>
      <c r="I38" s="33"/>
      <c r="J38" s="33"/>
      <c r="K38" s="33"/>
      <c r="L38" s="29">
        <f t="shared" si="2"/>
        <v>0</v>
      </c>
      <c r="M38" s="29"/>
      <c r="N38" s="171"/>
      <c r="O38" s="25"/>
      <c r="P38" s="27"/>
      <c r="Q38" s="27">
        <v>6</v>
      </c>
      <c r="U38" s="22"/>
    </row>
    <row r="39" spans="1:21" x14ac:dyDescent="0.2">
      <c r="A39" s="9"/>
      <c r="B39" s="25" t="s">
        <v>55</v>
      </c>
      <c r="C39" s="10" t="s">
        <v>88</v>
      </c>
      <c r="D39" s="7">
        <v>308</v>
      </c>
      <c r="E39" s="11">
        <f t="shared" si="0"/>
        <v>154</v>
      </c>
      <c r="F39" s="11">
        <f t="shared" si="1"/>
        <v>12</v>
      </c>
      <c r="G39" s="11">
        <v>5.5</v>
      </c>
      <c r="H39" s="11">
        <v>1.5</v>
      </c>
      <c r="I39" s="32">
        <v>179.36</v>
      </c>
      <c r="J39" s="32">
        <v>6</v>
      </c>
      <c r="K39" s="32">
        <v>0</v>
      </c>
      <c r="L39" s="29">
        <f t="shared" si="2"/>
        <v>-12.360000000000014</v>
      </c>
      <c r="M39" s="29">
        <v>-12</v>
      </c>
      <c r="N39" s="169"/>
      <c r="O39" s="91"/>
      <c r="P39" s="27"/>
      <c r="Q39" s="27">
        <v>6</v>
      </c>
      <c r="U39" s="22"/>
    </row>
    <row r="40" spans="1:21" x14ac:dyDescent="0.2">
      <c r="A40" s="9"/>
      <c r="B40" s="25" t="s">
        <v>89</v>
      </c>
      <c r="C40" s="10" t="s">
        <v>90</v>
      </c>
      <c r="D40" s="7">
        <v>258</v>
      </c>
      <c r="E40" s="11">
        <f t="shared" si="0"/>
        <v>129</v>
      </c>
      <c r="F40" s="11">
        <f t="shared" si="1"/>
        <v>12</v>
      </c>
      <c r="G40" s="11">
        <v>2.75</v>
      </c>
      <c r="H40" s="11">
        <v>4.25</v>
      </c>
      <c r="I40" s="32">
        <v>19</v>
      </c>
      <c r="J40" s="32">
        <v>20.7</v>
      </c>
      <c r="K40" s="32">
        <v>0</v>
      </c>
      <c r="L40" s="29">
        <f t="shared" si="2"/>
        <v>108.3</v>
      </c>
      <c r="M40" s="29">
        <v>108</v>
      </c>
      <c r="N40" s="169"/>
      <c r="O40" s="91"/>
      <c r="P40" s="27"/>
      <c r="Q40" s="27"/>
      <c r="U40" s="22"/>
    </row>
    <row r="41" spans="1:21" x14ac:dyDescent="0.2">
      <c r="A41" s="9"/>
      <c r="B41" s="25" t="s">
        <v>91</v>
      </c>
      <c r="C41" s="10" t="s">
        <v>92</v>
      </c>
      <c r="D41" s="7"/>
      <c r="E41" s="11">
        <f t="shared" si="0"/>
        <v>0</v>
      </c>
      <c r="F41" s="11">
        <f t="shared" si="1"/>
        <v>0</v>
      </c>
      <c r="G41" s="11"/>
      <c r="H41" s="11"/>
      <c r="I41" s="32"/>
      <c r="J41" s="32"/>
      <c r="K41" s="32"/>
      <c r="L41" s="29">
        <f t="shared" si="2"/>
        <v>0</v>
      </c>
      <c r="M41" s="29"/>
      <c r="N41" s="169"/>
      <c r="O41" s="91"/>
      <c r="P41" s="27"/>
      <c r="Q41" s="27"/>
      <c r="U41" s="22"/>
    </row>
    <row r="42" spans="1:21" x14ac:dyDescent="0.2">
      <c r="A42" s="102"/>
      <c r="B42" s="25" t="s">
        <v>93</v>
      </c>
      <c r="C42" s="10" t="s">
        <v>94</v>
      </c>
      <c r="D42" s="7"/>
      <c r="E42" s="11">
        <f t="shared" si="0"/>
        <v>0</v>
      </c>
      <c r="F42" s="11">
        <f t="shared" si="1"/>
        <v>0</v>
      </c>
      <c r="G42" s="11"/>
      <c r="H42" s="11"/>
      <c r="I42" s="32"/>
      <c r="J42" s="32"/>
      <c r="K42" s="32"/>
      <c r="L42" s="29">
        <f t="shared" si="2"/>
        <v>0</v>
      </c>
      <c r="M42" s="29"/>
      <c r="N42" s="169"/>
      <c r="O42" s="91"/>
      <c r="P42" s="27"/>
      <c r="Q42" s="27"/>
      <c r="U42" s="22"/>
    </row>
    <row r="43" spans="1:21" x14ac:dyDescent="0.2">
      <c r="A43" s="9"/>
      <c r="B43" s="25" t="s">
        <v>99</v>
      </c>
      <c r="C43" s="10" t="s">
        <v>95</v>
      </c>
      <c r="D43" s="7">
        <v>328</v>
      </c>
      <c r="E43" s="11">
        <f t="shared" si="0"/>
        <v>164</v>
      </c>
      <c r="F43" s="11">
        <f t="shared" si="1"/>
        <v>12</v>
      </c>
      <c r="G43" s="11">
        <v>5.5</v>
      </c>
      <c r="H43" s="11">
        <v>1.5</v>
      </c>
      <c r="I43" s="32">
        <v>17</v>
      </c>
      <c r="J43" s="32">
        <v>136.56</v>
      </c>
      <c r="K43" s="32">
        <v>0</v>
      </c>
      <c r="L43" s="29">
        <f t="shared" si="2"/>
        <v>29.439999999999998</v>
      </c>
      <c r="M43" s="29">
        <v>29</v>
      </c>
      <c r="N43" s="169">
        <v>0</v>
      </c>
      <c r="O43" s="91"/>
      <c r="P43" s="27"/>
      <c r="Q43" s="27"/>
      <c r="U43" s="22"/>
    </row>
    <row r="44" spans="1:21" x14ac:dyDescent="0.2">
      <c r="A44" s="9"/>
      <c r="B44" s="25" t="s">
        <v>111</v>
      </c>
      <c r="C44" s="10" t="s">
        <v>96</v>
      </c>
      <c r="D44" s="7">
        <v>203</v>
      </c>
      <c r="E44" s="11">
        <f t="shared" si="0"/>
        <v>101.5</v>
      </c>
      <c r="F44" s="11">
        <f t="shared" si="1"/>
        <v>12</v>
      </c>
      <c r="G44" s="11">
        <v>0</v>
      </c>
      <c r="H44" s="11">
        <v>3.5</v>
      </c>
      <c r="I44" s="32">
        <v>174.37</v>
      </c>
      <c r="J44" s="32">
        <v>23</v>
      </c>
      <c r="K44" s="32">
        <v>0</v>
      </c>
      <c r="L44" s="29">
        <f t="shared" si="2"/>
        <v>-80.37</v>
      </c>
      <c r="M44" s="29">
        <v>-80</v>
      </c>
      <c r="N44" s="169"/>
      <c r="O44" s="91"/>
      <c r="P44" s="27"/>
      <c r="Q44" s="27"/>
      <c r="U44" s="22"/>
    </row>
    <row r="45" spans="1:21" x14ac:dyDescent="0.2">
      <c r="A45" s="9"/>
      <c r="B45" s="25" t="s">
        <v>97</v>
      </c>
      <c r="C45" s="10" t="s">
        <v>98</v>
      </c>
      <c r="D45" s="7">
        <v>223</v>
      </c>
      <c r="E45" s="11">
        <f t="shared" si="0"/>
        <v>111.5</v>
      </c>
      <c r="F45" s="11">
        <f t="shared" si="1"/>
        <v>12</v>
      </c>
      <c r="G45" s="11">
        <v>0</v>
      </c>
      <c r="H45" s="11">
        <v>3.5</v>
      </c>
      <c r="I45" s="32">
        <v>44.9</v>
      </c>
      <c r="J45" s="32">
        <v>11.5</v>
      </c>
      <c r="K45" s="32">
        <v>0</v>
      </c>
      <c r="L45" s="29">
        <f t="shared" si="2"/>
        <v>70.599999999999994</v>
      </c>
      <c r="M45" s="29">
        <v>71</v>
      </c>
      <c r="N45" s="169"/>
      <c r="O45" s="91"/>
      <c r="P45" s="27"/>
      <c r="Q45" s="27">
        <v>0</v>
      </c>
      <c r="U45" s="22"/>
    </row>
    <row r="46" spans="1:21" x14ac:dyDescent="0.2">
      <c r="A46" s="9"/>
      <c r="B46" s="25" t="s">
        <v>99</v>
      </c>
      <c r="C46" s="10" t="s">
        <v>100</v>
      </c>
      <c r="D46" s="7"/>
      <c r="E46" s="11">
        <f t="shared" si="0"/>
        <v>0</v>
      </c>
      <c r="F46" s="11">
        <f t="shared" si="1"/>
        <v>0</v>
      </c>
      <c r="G46" s="11"/>
      <c r="H46" s="11"/>
      <c r="I46" s="32"/>
      <c r="J46" s="32"/>
      <c r="K46" s="32"/>
      <c r="L46" s="29">
        <f t="shared" si="2"/>
        <v>0</v>
      </c>
      <c r="M46" s="29"/>
      <c r="N46" s="169"/>
      <c r="O46" s="91"/>
      <c r="P46" s="27"/>
      <c r="Q46" s="27"/>
      <c r="U46" s="22"/>
    </row>
    <row r="47" spans="1:21" x14ac:dyDescent="0.2">
      <c r="A47" s="9"/>
      <c r="B47" s="25"/>
      <c r="C47" s="10"/>
      <c r="D47" s="7"/>
      <c r="E47" s="11">
        <f t="shared" si="0"/>
        <v>0</v>
      </c>
      <c r="F47" s="11">
        <f t="shared" si="1"/>
        <v>0</v>
      </c>
      <c r="G47" s="11"/>
      <c r="H47" s="11"/>
      <c r="I47" s="32"/>
      <c r="J47" s="32"/>
      <c r="K47" s="32"/>
      <c r="L47" s="29">
        <f t="shared" si="2"/>
        <v>0</v>
      </c>
      <c r="M47" s="29"/>
      <c r="N47" s="169"/>
      <c r="O47" s="91"/>
      <c r="P47" s="27"/>
      <c r="Q47" s="27">
        <v>6</v>
      </c>
    </row>
    <row r="48" spans="1:21" x14ac:dyDescent="0.2">
      <c r="D48" s="3">
        <f t="shared" ref="D48:N48" si="3">SUM(D4:D47)</f>
        <v>6991</v>
      </c>
      <c r="E48" s="21">
        <f t="shared" si="3"/>
        <v>3143</v>
      </c>
      <c r="F48" s="3">
        <f t="shared" si="3"/>
        <v>256</v>
      </c>
      <c r="G48" s="3">
        <f t="shared" si="3"/>
        <v>71.5</v>
      </c>
      <c r="H48" s="3">
        <f t="shared" si="3"/>
        <v>116.5</v>
      </c>
      <c r="I48" s="3">
        <f t="shared" si="3"/>
        <v>2165.56</v>
      </c>
      <c r="J48" s="3">
        <f t="shared" si="3"/>
        <v>1470.84</v>
      </c>
      <c r="K48" s="3">
        <f t="shared" si="3"/>
        <v>0</v>
      </c>
      <c r="L48" s="3">
        <f t="shared" si="3"/>
        <v>-49.399999999999935</v>
      </c>
      <c r="M48" s="3">
        <f t="shared" si="3"/>
        <v>-49</v>
      </c>
      <c r="N48" s="3">
        <f t="shared" si="3"/>
        <v>0</v>
      </c>
      <c r="O48" s="174"/>
    </row>
    <row r="49" spans="5:5" x14ac:dyDescent="0.2">
      <c r="E49" s="2"/>
    </row>
    <row r="50" spans="5:5" x14ac:dyDescent="0.2">
      <c r="E50" s="2"/>
    </row>
    <row r="51" spans="5:5" x14ac:dyDescent="0.2">
      <c r="E51" s="2"/>
    </row>
    <row r="52" spans="5:5" x14ac:dyDescent="0.2">
      <c r="E52" s="2"/>
    </row>
  </sheetData>
  <mergeCells count="1">
    <mergeCell ref="R26:S26"/>
  </mergeCells>
  <conditionalFormatting sqref="C4:C12">
    <cfRule type="expression" dxfId="48" priority="2">
      <formula>$M4&lt;0</formula>
    </cfRule>
  </conditionalFormatting>
  <conditionalFormatting sqref="C13">
    <cfRule type="expression" dxfId="47" priority="4">
      <formula>$M$13&lt;0</formula>
    </cfRule>
  </conditionalFormatting>
  <conditionalFormatting sqref="C14:C47">
    <cfRule type="expression" dxfId="46" priority="1">
      <formula>$M14&lt;0</formula>
    </cfRule>
  </conditionalFormatting>
  <conditionalFormatting sqref="M1:M2 M49:M1048576">
    <cfRule type="cellIs" dxfId="45" priority="39" operator="lessThan">
      <formula>0</formula>
    </cfRule>
  </conditionalFormatting>
  <conditionalFormatting sqref="M4:M47">
    <cfRule type="cellIs" dxfId="44" priority="6" operator="lessThan">
      <formula>0</formula>
    </cfRule>
  </conditionalFormatting>
  <pageMargins left="0.7" right="0.7" top="0.75" bottom="0.75" header="0.3" footer="0.3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V48"/>
  <sheetViews>
    <sheetView showGridLines="0" workbookViewId="0">
      <selection activeCell="N20" sqref="N20"/>
    </sheetView>
  </sheetViews>
  <sheetFormatPr baseColWidth="10" defaultColWidth="8.83203125" defaultRowHeight="15" x14ac:dyDescent="0.2"/>
  <cols>
    <col min="1" max="1" width="6.5" style="1" customWidth="1"/>
    <col min="2" max="2" width="12.1640625" style="26" customWidth="1"/>
    <col min="3" max="3" width="19.33203125" style="1" bestFit="1" customWidth="1"/>
    <col min="4" max="13" width="12.1640625" customWidth="1"/>
    <col min="14" max="14" width="12.5" bestFit="1" customWidth="1"/>
    <col min="15" max="15" width="15.1640625" customWidth="1"/>
    <col min="16" max="17" width="6" style="1" customWidth="1"/>
    <col min="18" max="18" width="12.5" bestFit="1" customWidth="1"/>
    <col min="19" max="19" width="10.6640625" customWidth="1"/>
  </cols>
  <sheetData>
    <row r="1" spans="1:22" x14ac:dyDescent="0.2">
      <c r="A1" s="4" t="s">
        <v>0</v>
      </c>
      <c r="B1" s="108">
        <f>'Mon AM'!B1+2</f>
        <v>46120</v>
      </c>
      <c r="C1" s="208"/>
      <c r="D1" s="4" t="s">
        <v>1</v>
      </c>
      <c r="E1" s="6" t="s">
        <v>112</v>
      </c>
    </row>
    <row r="3" spans="1:22" x14ac:dyDescent="0.2">
      <c r="A3" s="4"/>
      <c r="B3" s="23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101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28" t="s">
        <v>16</v>
      </c>
    </row>
    <row r="4" spans="1:22" x14ac:dyDescent="0.2">
      <c r="A4" s="10"/>
      <c r="B4" s="24" t="s">
        <v>113</v>
      </c>
      <c r="C4" s="10" t="s">
        <v>114</v>
      </c>
      <c r="D4" s="11"/>
      <c r="E4" s="11">
        <f t="shared" ref="E4:E47" si="0">IF(AND(VALUE(B4)&lt;100, D4&gt;0),D4*0.5,D4*0.25)</f>
        <v>0</v>
      </c>
      <c r="F4" s="11">
        <f t="shared" ref="F4:F47" si="1">IF(P4="C",Q4,IF(AND(VALUE(B4)&lt;100, D4&gt;0),12,IF(D4&gt;0,2,0)))</f>
        <v>0</v>
      </c>
      <c r="G4" s="11"/>
      <c r="H4" s="11"/>
      <c r="I4" s="31"/>
      <c r="J4" s="31"/>
      <c r="K4" s="31"/>
      <c r="L4" s="29">
        <f t="shared" ref="L4:L47" si="2">(E4+F4+G4+H4)-I4-J4-K4</f>
        <v>0</v>
      </c>
      <c r="M4" s="29"/>
      <c r="N4" s="169"/>
      <c r="O4" s="172"/>
      <c r="P4" s="27" t="s">
        <v>59</v>
      </c>
      <c r="Q4" s="27">
        <v>0</v>
      </c>
      <c r="R4" s="15" t="s">
        <v>19</v>
      </c>
      <c r="S4" s="12">
        <f>D48</f>
        <v>2731</v>
      </c>
      <c r="U4" s="1"/>
      <c r="V4" s="1"/>
    </row>
    <row r="5" spans="1:22" x14ac:dyDescent="0.2">
      <c r="A5" s="9"/>
      <c r="B5" s="25" t="s">
        <v>117</v>
      </c>
      <c r="C5" s="10" t="s">
        <v>118</v>
      </c>
      <c r="D5" s="7"/>
      <c r="E5" s="11">
        <f t="shared" si="0"/>
        <v>0</v>
      </c>
      <c r="F5" s="11">
        <f t="shared" si="1"/>
        <v>0</v>
      </c>
      <c r="G5" s="11"/>
      <c r="H5" s="11"/>
      <c r="I5" s="32"/>
      <c r="J5" s="32"/>
      <c r="K5" s="32"/>
      <c r="L5" s="29">
        <f t="shared" si="2"/>
        <v>0</v>
      </c>
      <c r="M5" s="29"/>
      <c r="N5" s="169"/>
      <c r="O5" s="91"/>
      <c r="P5" s="27"/>
      <c r="Q5" s="27">
        <v>6</v>
      </c>
      <c r="R5" s="16" t="s">
        <v>22</v>
      </c>
      <c r="S5" s="13">
        <f>E48</f>
        <v>1258.5</v>
      </c>
      <c r="U5" s="1"/>
      <c r="V5" s="1"/>
    </row>
    <row r="6" spans="1:22" x14ac:dyDescent="0.2">
      <c r="A6" s="9"/>
      <c r="B6" s="25" t="s">
        <v>47</v>
      </c>
      <c r="C6" s="10" t="s">
        <v>119</v>
      </c>
      <c r="D6" s="7"/>
      <c r="E6" s="11">
        <f t="shared" si="0"/>
        <v>0</v>
      </c>
      <c r="F6" s="11">
        <f t="shared" si="1"/>
        <v>0</v>
      </c>
      <c r="G6" s="11"/>
      <c r="H6" s="11"/>
      <c r="I6" s="32"/>
      <c r="J6" s="32"/>
      <c r="K6" s="32"/>
      <c r="L6" s="29">
        <f t="shared" si="2"/>
        <v>0</v>
      </c>
      <c r="M6" s="29"/>
      <c r="N6" s="169"/>
      <c r="O6" s="91"/>
      <c r="P6" s="27"/>
      <c r="Q6" s="27">
        <v>6</v>
      </c>
      <c r="R6" s="16" t="s">
        <v>7</v>
      </c>
      <c r="S6" s="13">
        <f>F48</f>
        <v>104</v>
      </c>
    </row>
    <row r="7" spans="1:22" x14ac:dyDescent="0.2">
      <c r="A7" s="9"/>
      <c r="B7" s="25" t="s">
        <v>17</v>
      </c>
      <c r="C7" s="10" t="s">
        <v>28</v>
      </c>
      <c r="D7" s="7"/>
      <c r="E7" s="11">
        <f t="shared" si="0"/>
        <v>0</v>
      </c>
      <c r="F7" s="11">
        <f t="shared" si="1"/>
        <v>0</v>
      </c>
      <c r="G7" s="11"/>
      <c r="H7" s="11"/>
      <c r="I7" s="32"/>
      <c r="J7" s="32"/>
      <c r="K7" s="32"/>
      <c r="L7" s="29">
        <f t="shared" si="2"/>
        <v>0</v>
      </c>
      <c r="M7" s="29"/>
      <c r="N7" s="169"/>
      <c r="O7" s="91"/>
      <c r="P7" s="27"/>
      <c r="Q7" s="27">
        <v>6</v>
      </c>
      <c r="R7" s="16" t="s">
        <v>8</v>
      </c>
      <c r="S7" s="13">
        <f>G48</f>
        <v>16.5</v>
      </c>
    </row>
    <row r="8" spans="1:22" x14ac:dyDescent="0.2">
      <c r="A8" s="9"/>
      <c r="B8" s="25" t="s">
        <v>120</v>
      </c>
      <c r="C8" s="10" t="s">
        <v>121</v>
      </c>
      <c r="D8" s="7">
        <v>20</v>
      </c>
      <c r="E8" s="11">
        <f t="shared" si="0"/>
        <v>5</v>
      </c>
      <c r="F8" s="11">
        <f t="shared" si="1"/>
        <v>2</v>
      </c>
      <c r="G8" s="11">
        <v>0</v>
      </c>
      <c r="H8" s="11">
        <v>0</v>
      </c>
      <c r="I8" s="32">
        <v>11</v>
      </c>
      <c r="J8" s="32">
        <v>0</v>
      </c>
      <c r="K8" s="32">
        <v>0</v>
      </c>
      <c r="L8" s="29">
        <f t="shared" si="2"/>
        <v>-4</v>
      </c>
      <c r="M8" s="29">
        <v>-4</v>
      </c>
      <c r="N8" s="169">
        <v>-4</v>
      </c>
      <c r="O8" s="91" t="s">
        <v>167</v>
      </c>
      <c r="P8" s="27"/>
      <c r="Q8" s="27">
        <v>6</v>
      </c>
      <c r="R8" s="16" t="s">
        <v>9</v>
      </c>
      <c r="S8" s="13">
        <f>H48</f>
        <v>68.75</v>
      </c>
    </row>
    <row r="9" spans="1:22" x14ac:dyDescent="0.2">
      <c r="A9" s="9"/>
      <c r="B9" s="25" t="s">
        <v>111</v>
      </c>
      <c r="C9" s="10" t="s">
        <v>122</v>
      </c>
      <c r="D9" s="7"/>
      <c r="E9" s="11">
        <f t="shared" si="0"/>
        <v>0</v>
      </c>
      <c r="F9" s="11">
        <f t="shared" si="1"/>
        <v>0</v>
      </c>
      <c r="G9" s="11"/>
      <c r="H9" s="11"/>
      <c r="I9" s="32"/>
      <c r="J9" s="32"/>
      <c r="K9" s="32"/>
      <c r="L9" s="29">
        <f t="shared" si="2"/>
        <v>0</v>
      </c>
      <c r="M9" s="29"/>
      <c r="N9" s="169"/>
      <c r="O9" s="91"/>
      <c r="P9" s="27"/>
      <c r="Q9" s="27">
        <v>0</v>
      </c>
      <c r="R9" s="16" t="s">
        <v>10</v>
      </c>
      <c r="S9" s="13">
        <f>I48</f>
        <v>1054.92</v>
      </c>
    </row>
    <row r="10" spans="1:22" x14ac:dyDescent="0.2">
      <c r="A10" s="9"/>
      <c r="B10" s="25" t="s">
        <v>52</v>
      </c>
      <c r="C10" s="10" t="s">
        <v>123</v>
      </c>
      <c r="D10" s="7"/>
      <c r="E10" s="11">
        <f t="shared" si="0"/>
        <v>0</v>
      </c>
      <c r="F10" s="11">
        <f t="shared" si="1"/>
        <v>0</v>
      </c>
      <c r="G10" s="11"/>
      <c r="H10" s="11"/>
      <c r="I10" s="32"/>
      <c r="J10" s="32"/>
      <c r="K10" s="32"/>
      <c r="L10" s="29">
        <f t="shared" si="2"/>
        <v>0</v>
      </c>
      <c r="M10" s="29"/>
      <c r="N10" s="169"/>
      <c r="O10" s="91"/>
      <c r="P10" s="27"/>
      <c r="Q10" s="27">
        <v>6</v>
      </c>
      <c r="R10" s="16" t="s">
        <v>11</v>
      </c>
      <c r="S10" s="13">
        <f>J48</f>
        <v>562.79000000000008</v>
      </c>
    </row>
    <row r="11" spans="1:22" x14ac:dyDescent="0.2">
      <c r="A11" s="9"/>
      <c r="B11" s="25" t="s">
        <v>97</v>
      </c>
      <c r="C11" s="10" t="s">
        <v>124</v>
      </c>
      <c r="D11" s="7">
        <v>162</v>
      </c>
      <c r="E11" s="11">
        <f t="shared" si="0"/>
        <v>81</v>
      </c>
      <c r="F11" s="11">
        <f t="shared" si="1"/>
        <v>12</v>
      </c>
      <c r="G11" s="11">
        <v>0</v>
      </c>
      <c r="H11" s="11">
        <v>0</v>
      </c>
      <c r="I11" s="32">
        <v>28.05</v>
      </c>
      <c r="J11" s="32">
        <v>0</v>
      </c>
      <c r="K11" s="32">
        <v>14</v>
      </c>
      <c r="L11" s="29">
        <f t="shared" si="2"/>
        <v>50.95</v>
      </c>
      <c r="M11" s="29">
        <v>32</v>
      </c>
      <c r="N11" s="169">
        <v>19</v>
      </c>
      <c r="O11" s="91"/>
      <c r="P11" s="27"/>
      <c r="Q11" s="27">
        <v>6</v>
      </c>
      <c r="R11" s="16" t="s">
        <v>12</v>
      </c>
      <c r="S11" s="13">
        <f>K48</f>
        <v>14</v>
      </c>
    </row>
    <row r="12" spans="1:22" x14ac:dyDescent="0.2">
      <c r="A12" s="102"/>
      <c r="B12" s="25" t="s">
        <v>31</v>
      </c>
      <c r="C12" s="10" t="s">
        <v>125</v>
      </c>
      <c r="D12" s="7">
        <v>210</v>
      </c>
      <c r="E12" s="11">
        <f t="shared" si="0"/>
        <v>105</v>
      </c>
      <c r="F12" s="11">
        <f t="shared" si="1"/>
        <v>12</v>
      </c>
      <c r="G12" s="11">
        <v>2.75</v>
      </c>
      <c r="H12" s="11">
        <v>3.5</v>
      </c>
      <c r="I12" s="32">
        <v>118.25</v>
      </c>
      <c r="J12" s="32">
        <v>13.8</v>
      </c>
      <c r="K12" s="32">
        <v>0</v>
      </c>
      <c r="L12" s="29">
        <f t="shared" si="2"/>
        <v>-8.8000000000000007</v>
      </c>
      <c r="M12" s="29">
        <v>-9</v>
      </c>
      <c r="N12" s="170"/>
      <c r="O12" s="173"/>
      <c r="P12" s="27"/>
      <c r="Q12" s="27">
        <v>6</v>
      </c>
      <c r="R12" s="17" t="s">
        <v>37</v>
      </c>
      <c r="S12" s="14">
        <f>N48</f>
        <v>15</v>
      </c>
    </row>
    <row r="13" spans="1:22" x14ac:dyDescent="0.2">
      <c r="A13" s="102"/>
      <c r="B13" s="25" t="s">
        <v>111</v>
      </c>
      <c r="C13" s="10" t="s">
        <v>126</v>
      </c>
      <c r="D13" s="7">
        <v>346</v>
      </c>
      <c r="E13" s="11">
        <f t="shared" si="0"/>
        <v>173</v>
      </c>
      <c r="F13" s="11">
        <f t="shared" si="1"/>
        <v>12</v>
      </c>
      <c r="G13" s="11">
        <v>2.75</v>
      </c>
      <c r="H13" s="11">
        <v>11.25</v>
      </c>
      <c r="I13" s="32">
        <v>217.16</v>
      </c>
      <c r="J13" s="32">
        <v>165.96</v>
      </c>
      <c r="K13" s="32">
        <v>0</v>
      </c>
      <c r="L13" s="29">
        <f t="shared" si="2"/>
        <v>-184.12</v>
      </c>
      <c r="M13" s="29">
        <v>-184</v>
      </c>
      <c r="N13" s="169"/>
      <c r="O13" s="91"/>
      <c r="P13" s="27"/>
      <c r="Q13" s="27">
        <v>0</v>
      </c>
      <c r="R13" s="18"/>
      <c r="S13" s="30">
        <f>S5+S6+S7-S9-S10-S11-S12</f>
        <v>-267.71000000000015</v>
      </c>
      <c r="T13" s="22"/>
    </row>
    <row r="14" spans="1:22" x14ac:dyDescent="0.2">
      <c r="A14" s="9"/>
      <c r="B14" s="25" t="s">
        <v>168</v>
      </c>
      <c r="C14" s="10" t="s">
        <v>169</v>
      </c>
      <c r="D14" s="7"/>
      <c r="E14" s="11">
        <f t="shared" si="0"/>
        <v>0</v>
      </c>
      <c r="F14" s="11">
        <f t="shared" si="1"/>
        <v>0</v>
      </c>
      <c r="G14" s="11"/>
      <c r="H14" s="11"/>
      <c r="I14" s="32"/>
      <c r="J14" s="32"/>
      <c r="K14" s="32"/>
      <c r="L14" s="29">
        <f t="shared" si="2"/>
        <v>0</v>
      </c>
      <c r="M14" s="29"/>
      <c r="N14" s="169"/>
      <c r="O14" s="91"/>
      <c r="P14" s="27"/>
      <c r="Q14" s="27">
        <v>6</v>
      </c>
      <c r="R14" s="19" t="s">
        <v>42</v>
      </c>
      <c r="S14" s="20">
        <f>M48</f>
        <v>-202</v>
      </c>
    </row>
    <row r="15" spans="1:22" x14ac:dyDescent="0.2">
      <c r="A15" s="9"/>
      <c r="B15" s="25" t="s">
        <v>47</v>
      </c>
      <c r="C15" s="10" t="s">
        <v>158</v>
      </c>
      <c r="D15" s="7"/>
      <c r="E15" s="11">
        <f t="shared" si="0"/>
        <v>0</v>
      </c>
      <c r="F15" s="11">
        <f t="shared" si="1"/>
        <v>0</v>
      </c>
      <c r="G15" s="11"/>
      <c r="H15" s="11"/>
      <c r="I15" s="32"/>
      <c r="J15" s="32"/>
      <c r="K15" s="32"/>
      <c r="L15" s="29">
        <f t="shared" si="2"/>
        <v>0</v>
      </c>
      <c r="M15" s="29"/>
      <c r="N15" s="169"/>
      <c r="O15" s="91"/>
      <c r="P15" s="27"/>
      <c r="Q15" s="27"/>
    </row>
    <row r="16" spans="1:22" x14ac:dyDescent="0.2">
      <c r="A16" s="9"/>
      <c r="B16" s="25" t="s">
        <v>97</v>
      </c>
      <c r="C16" s="10" t="s">
        <v>129</v>
      </c>
      <c r="D16" s="7">
        <v>191</v>
      </c>
      <c r="E16" s="11">
        <f t="shared" si="0"/>
        <v>95.5</v>
      </c>
      <c r="F16" s="11">
        <f t="shared" si="1"/>
        <v>12</v>
      </c>
      <c r="G16" s="11">
        <v>0</v>
      </c>
      <c r="H16" s="11">
        <v>3.5</v>
      </c>
      <c r="I16" s="32">
        <v>10</v>
      </c>
      <c r="J16" s="32">
        <v>138</v>
      </c>
      <c r="K16" s="32">
        <v>0</v>
      </c>
      <c r="L16" s="29">
        <f t="shared" si="2"/>
        <v>-37</v>
      </c>
      <c r="M16" s="29">
        <v>-37</v>
      </c>
      <c r="N16" s="169"/>
      <c r="O16" s="91"/>
      <c r="P16" s="27"/>
      <c r="Q16" s="27"/>
      <c r="R16" s="35"/>
      <c r="S16" s="35"/>
      <c r="T16" s="35"/>
      <c r="U16" s="35"/>
    </row>
    <row r="17" spans="1:21" x14ac:dyDescent="0.2">
      <c r="A17" s="9"/>
      <c r="B17" s="25" t="s">
        <v>31</v>
      </c>
      <c r="C17" s="10" t="s">
        <v>130</v>
      </c>
      <c r="D17" s="7"/>
      <c r="E17" s="11">
        <f t="shared" si="0"/>
        <v>0</v>
      </c>
      <c r="F17" s="11">
        <f t="shared" si="1"/>
        <v>0</v>
      </c>
      <c r="G17" s="11"/>
      <c r="H17" s="11"/>
      <c r="I17" s="32"/>
      <c r="J17" s="32"/>
      <c r="K17" s="32"/>
      <c r="L17" s="29">
        <f t="shared" si="2"/>
        <v>0</v>
      </c>
      <c r="M17" s="29"/>
      <c r="N17" s="169"/>
      <c r="O17" s="91"/>
      <c r="P17" s="27"/>
      <c r="Q17" s="27">
        <v>6</v>
      </c>
      <c r="R17" s="35"/>
      <c r="S17" s="35"/>
      <c r="T17" s="35"/>
      <c r="U17" s="35"/>
    </row>
    <row r="18" spans="1:21" x14ac:dyDescent="0.2">
      <c r="A18" s="9"/>
      <c r="B18" s="25" t="s">
        <v>65</v>
      </c>
      <c r="C18" s="10" t="s">
        <v>132</v>
      </c>
      <c r="D18" s="7"/>
      <c r="E18" s="11">
        <f t="shared" si="0"/>
        <v>0</v>
      </c>
      <c r="F18" s="11">
        <f t="shared" si="1"/>
        <v>0</v>
      </c>
      <c r="G18" s="11"/>
      <c r="H18" s="11"/>
      <c r="I18" s="32"/>
      <c r="J18" s="32"/>
      <c r="K18" s="32"/>
      <c r="L18" s="29">
        <f t="shared" si="2"/>
        <v>0</v>
      </c>
      <c r="M18" s="29"/>
      <c r="N18" s="169"/>
      <c r="O18" s="91"/>
      <c r="P18" s="27"/>
      <c r="Q18" s="27">
        <v>0</v>
      </c>
      <c r="R18" s="15" t="s">
        <v>51</v>
      </c>
      <c r="S18" s="95">
        <f t="array" ref="S18">SUMPRODUCT((VALUE(B4:B47)&lt;100)*(D4:D47&gt;0))</f>
        <v>9</v>
      </c>
      <c r="T18" s="35"/>
      <c r="U18" s="35"/>
    </row>
    <row r="19" spans="1:21" x14ac:dyDescent="0.2">
      <c r="A19" s="9"/>
      <c r="B19" s="25" t="s">
        <v>89</v>
      </c>
      <c r="C19" s="10" t="s">
        <v>133</v>
      </c>
      <c r="D19" s="7"/>
      <c r="E19" s="11">
        <f t="shared" si="0"/>
        <v>0</v>
      </c>
      <c r="F19" s="11">
        <f t="shared" si="1"/>
        <v>0</v>
      </c>
      <c r="G19" s="11"/>
      <c r="H19" s="11"/>
      <c r="I19" s="32"/>
      <c r="J19" s="32"/>
      <c r="K19" s="32"/>
      <c r="L19" s="29">
        <f t="shared" si="2"/>
        <v>0</v>
      </c>
      <c r="M19" s="29"/>
      <c r="N19" s="169"/>
      <c r="O19" s="91"/>
      <c r="P19" s="27" t="s">
        <v>59</v>
      </c>
      <c r="Q19" s="27">
        <v>0</v>
      </c>
      <c r="R19" s="16" t="s">
        <v>54</v>
      </c>
      <c r="S19" s="96">
        <f t="array" ref="S19">SUMPRODUCT((VALUE(B4:B47)&gt;100)*(D4:D47&gt;0))</f>
        <v>4</v>
      </c>
      <c r="T19" s="35"/>
      <c r="U19" s="35"/>
    </row>
    <row r="20" spans="1:21" x14ac:dyDescent="0.2">
      <c r="A20" s="9"/>
      <c r="B20" s="25" t="s">
        <v>134</v>
      </c>
      <c r="C20" s="10" t="s">
        <v>135</v>
      </c>
      <c r="D20" s="7">
        <v>272</v>
      </c>
      <c r="E20" s="11">
        <f t="shared" si="0"/>
        <v>136</v>
      </c>
      <c r="F20" s="11">
        <f t="shared" si="1"/>
        <v>12</v>
      </c>
      <c r="G20" s="11">
        <v>2.75</v>
      </c>
      <c r="H20" s="11">
        <v>7</v>
      </c>
      <c r="I20" s="32">
        <v>64.5</v>
      </c>
      <c r="J20" s="32">
        <v>144.33000000000001</v>
      </c>
      <c r="K20" s="32">
        <v>0</v>
      </c>
      <c r="L20" s="29">
        <f t="shared" si="2"/>
        <v>-51.080000000000013</v>
      </c>
      <c r="M20" s="29">
        <v>-51</v>
      </c>
      <c r="N20" s="169"/>
      <c r="O20" s="91"/>
      <c r="P20" s="27"/>
      <c r="Q20" s="27"/>
      <c r="R20" s="17" t="s">
        <v>57</v>
      </c>
      <c r="S20" s="97">
        <f>S18+S19</f>
        <v>13</v>
      </c>
      <c r="T20" s="35"/>
      <c r="U20" s="35"/>
    </row>
    <row r="21" spans="1:21" x14ac:dyDescent="0.2">
      <c r="A21" s="9"/>
      <c r="B21" s="25" t="s">
        <v>52</v>
      </c>
      <c r="C21" s="10" t="s">
        <v>136</v>
      </c>
      <c r="D21" s="7"/>
      <c r="E21" s="11">
        <f t="shared" si="0"/>
        <v>0</v>
      </c>
      <c r="F21" s="11">
        <f t="shared" si="1"/>
        <v>0</v>
      </c>
      <c r="G21" s="11"/>
      <c r="H21" s="11"/>
      <c r="I21" s="32"/>
      <c r="J21" s="32"/>
      <c r="K21" s="32"/>
      <c r="L21" s="29">
        <f t="shared" si="2"/>
        <v>0</v>
      </c>
      <c r="M21" s="29"/>
      <c r="N21" s="169"/>
      <c r="O21" s="91"/>
      <c r="P21" s="27"/>
      <c r="Q21" s="27">
        <v>6</v>
      </c>
      <c r="R21" s="35"/>
      <c r="S21" s="35"/>
      <c r="T21" s="35"/>
      <c r="U21" s="35"/>
    </row>
    <row r="22" spans="1:21" x14ac:dyDescent="0.2">
      <c r="A22" s="9"/>
      <c r="B22" s="25" t="s">
        <v>97</v>
      </c>
      <c r="C22" s="10" t="s">
        <v>137</v>
      </c>
      <c r="D22" s="7">
        <v>324</v>
      </c>
      <c r="E22" s="11">
        <f t="shared" si="0"/>
        <v>162</v>
      </c>
      <c r="F22" s="11">
        <f t="shared" si="1"/>
        <v>12</v>
      </c>
      <c r="G22" s="11">
        <v>5.5</v>
      </c>
      <c r="H22" s="11">
        <v>11.25</v>
      </c>
      <c r="I22" s="32">
        <v>136.06</v>
      </c>
      <c r="J22" s="32">
        <v>62.75</v>
      </c>
      <c r="K22" s="32">
        <v>0</v>
      </c>
      <c r="L22" s="29">
        <f t="shared" si="2"/>
        <v>-8.0600000000000023</v>
      </c>
      <c r="M22" s="29">
        <v>-8</v>
      </c>
      <c r="N22" s="169"/>
      <c r="O22" s="91"/>
      <c r="P22" s="27"/>
      <c r="Q22" s="27">
        <v>6</v>
      </c>
    </row>
    <row r="23" spans="1:21" x14ac:dyDescent="0.2">
      <c r="A23" s="9"/>
      <c r="B23" s="25" t="s">
        <v>77</v>
      </c>
      <c r="C23" s="10" t="s">
        <v>139</v>
      </c>
      <c r="D23" s="7">
        <v>372</v>
      </c>
      <c r="E23" s="11">
        <f t="shared" si="0"/>
        <v>186</v>
      </c>
      <c r="F23" s="11">
        <f t="shared" si="1"/>
        <v>12</v>
      </c>
      <c r="G23" s="11">
        <v>0</v>
      </c>
      <c r="H23" s="11">
        <v>10.5</v>
      </c>
      <c r="I23" s="32">
        <v>165.4</v>
      </c>
      <c r="J23" s="32">
        <v>0</v>
      </c>
      <c r="K23" s="32">
        <v>0</v>
      </c>
      <c r="L23" s="29">
        <f t="shared" si="2"/>
        <v>43.099999999999994</v>
      </c>
      <c r="M23" s="29">
        <v>43</v>
      </c>
      <c r="N23" s="169"/>
      <c r="O23" s="91"/>
      <c r="P23" s="98"/>
      <c r="Q23" s="98">
        <v>0</v>
      </c>
    </row>
    <row r="24" spans="1:21" x14ac:dyDescent="0.2">
      <c r="A24" s="9"/>
      <c r="B24" s="25" t="s">
        <v>111</v>
      </c>
      <c r="C24" s="10" t="s">
        <v>170</v>
      </c>
      <c r="D24" s="7"/>
      <c r="E24" s="11">
        <f t="shared" si="0"/>
        <v>0</v>
      </c>
      <c r="F24" s="11">
        <f t="shared" si="1"/>
        <v>0</v>
      </c>
      <c r="G24" s="11"/>
      <c r="H24" s="11"/>
      <c r="I24" s="32"/>
      <c r="J24" s="32"/>
      <c r="K24" s="32"/>
      <c r="L24" s="29">
        <f t="shared" si="2"/>
        <v>0</v>
      </c>
      <c r="M24" s="29"/>
      <c r="N24" s="169"/>
      <c r="O24" s="91"/>
      <c r="P24" s="27"/>
      <c r="Q24" s="27">
        <v>6</v>
      </c>
    </row>
    <row r="25" spans="1:21" x14ac:dyDescent="0.2">
      <c r="A25" s="9"/>
      <c r="B25" s="25" t="s">
        <v>104</v>
      </c>
      <c r="C25" s="10" t="s">
        <v>141</v>
      </c>
      <c r="D25" s="7">
        <v>286</v>
      </c>
      <c r="E25" s="11">
        <f t="shared" si="0"/>
        <v>143</v>
      </c>
      <c r="F25" s="11">
        <f t="shared" si="1"/>
        <v>12</v>
      </c>
      <c r="G25" s="11">
        <v>2.75</v>
      </c>
      <c r="H25" s="11">
        <v>11.25</v>
      </c>
      <c r="I25" s="32">
        <v>109</v>
      </c>
      <c r="J25" s="32">
        <v>0</v>
      </c>
      <c r="K25" s="32">
        <v>0</v>
      </c>
      <c r="L25" s="29">
        <f t="shared" si="2"/>
        <v>60</v>
      </c>
      <c r="M25" s="29">
        <v>60</v>
      </c>
      <c r="N25" s="169"/>
      <c r="O25" s="91"/>
      <c r="P25" s="27"/>
      <c r="Q25" s="27">
        <v>6</v>
      </c>
    </row>
    <row r="26" spans="1:21" x14ac:dyDescent="0.2">
      <c r="A26" s="9"/>
      <c r="B26" s="25" t="s">
        <v>97</v>
      </c>
      <c r="C26" s="10" t="s">
        <v>56</v>
      </c>
      <c r="D26" s="7"/>
      <c r="E26" s="11">
        <f t="shared" si="0"/>
        <v>0</v>
      </c>
      <c r="F26" s="11">
        <f t="shared" si="1"/>
        <v>0</v>
      </c>
      <c r="G26" s="11"/>
      <c r="H26" s="11"/>
      <c r="I26" s="32"/>
      <c r="J26" s="32"/>
      <c r="K26" s="32"/>
      <c r="L26" s="29">
        <f t="shared" si="2"/>
        <v>0</v>
      </c>
      <c r="M26" s="29"/>
      <c r="N26" s="169"/>
      <c r="O26" s="91"/>
      <c r="P26" s="27"/>
      <c r="Q26" s="168">
        <v>6</v>
      </c>
    </row>
    <row r="27" spans="1:21" x14ac:dyDescent="0.2">
      <c r="A27" s="9"/>
      <c r="B27" s="25" t="s">
        <v>52</v>
      </c>
      <c r="C27" s="10" t="s">
        <v>140</v>
      </c>
      <c r="D27" s="7"/>
      <c r="E27" s="11">
        <f t="shared" si="0"/>
        <v>0</v>
      </c>
      <c r="F27" s="11">
        <f t="shared" si="1"/>
        <v>0</v>
      </c>
      <c r="G27" s="11"/>
      <c r="H27" s="11"/>
      <c r="I27" s="32"/>
      <c r="J27" s="32"/>
      <c r="K27" s="32"/>
      <c r="L27" s="29">
        <f t="shared" si="2"/>
        <v>0</v>
      </c>
      <c r="M27" s="29"/>
      <c r="N27" s="169"/>
      <c r="O27" s="91"/>
      <c r="P27" s="168"/>
      <c r="R27" s="212"/>
      <c r="S27" s="213"/>
    </row>
    <row r="28" spans="1:21" x14ac:dyDescent="0.2">
      <c r="A28" s="9"/>
      <c r="B28" s="25" t="s">
        <v>145</v>
      </c>
      <c r="C28" s="10" t="s">
        <v>146</v>
      </c>
      <c r="D28" s="7">
        <v>74</v>
      </c>
      <c r="E28" s="11">
        <f t="shared" si="0"/>
        <v>18.5</v>
      </c>
      <c r="F28" s="11">
        <f t="shared" si="1"/>
        <v>2</v>
      </c>
      <c r="G28" s="11">
        <v>0</v>
      </c>
      <c r="H28" s="11">
        <v>0</v>
      </c>
      <c r="I28" s="32">
        <v>0</v>
      </c>
      <c r="J28" s="32">
        <v>28.75</v>
      </c>
      <c r="K28" s="32">
        <v>0</v>
      </c>
      <c r="L28" s="29">
        <f t="shared" si="2"/>
        <v>-8.25</v>
      </c>
      <c r="M28" s="29">
        <v>-8</v>
      </c>
      <c r="N28" s="169"/>
      <c r="O28" s="91"/>
      <c r="P28" s="27"/>
      <c r="Q28" s="27"/>
      <c r="S28" s="22"/>
      <c r="T28" s="27">
        <v>1</v>
      </c>
    </row>
    <row r="29" spans="1:21" x14ac:dyDescent="0.2">
      <c r="A29" s="9"/>
      <c r="B29" s="25" t="s">
        <v>55</v>
      </c>
      <c r="C29" s="10" t="s">
        <v>148</v>
      </c>
      <c r="D29" s="7"/>
      <c r="E29" s="11">
        <f t="shared" si="0"/>
        <v>0</v>
      </c>
      <c r="F29" s="11">
        <f t="shared" si="1"/>
        <v>0</v>
      </c>
      <c r="G29" s="11"/>
      <c r="H29" s="11"/>
      <c r="I29" s="32"/>
      <c r="J29" s="32"/>
      <c r="K29" s="32"/>
      <c r="L29" s="29">
        <f t="shared" si="2"/>
        <v>0</v>
      </c>
      <c r="M29" s="29"/>
      <c r="N29" s="169"/>
      <c r="O29" s="91"/>
      <c r="P29" s="168"/>
      <c r="Q29" s="168"/>
      <c r="S29" s="22"/>
      <c r="T29" s="27">
        <v>1</v>
      </c>
    </row>
    <row r="30" spans="1:21" x14ac:dyDescent="0.2">
      <c r="A30" s="9"/>
      <c r="B30" s="25" t="s">
        <v>131</v>
      </c>
      <c r="C30" s="10" t="s">
        <v>149</v>
      </c>
      <c r="D30" s="7">
        <v>140</v>
      </c>
      <c r="E30" s="11">
        <f t="shared" si="0"/>
        <v>70</v>
      </c>
      <c r="F30" s="11">
        <f t="shared" si="1"/>
        <v>0</v>
      </c>
      <c r="G30" s="11">
        <v>0</v>
      </c>
      <c r="H30" s="11">
        <v>7</v>
      </c>
      <c r="I30" s="32">
        <v>68.5</v>
      </c>
      <c r="J30" s="32">
        <v>0</v>
      </c>
      <c r="K30" s="32">
        <v>0</v>
      </c>
      <c r="L30" s="29">
        <f t="shared" si="2"/>
        <v>8.5</v>
      </c>
      <c r="M30" s="29">
        <v>9</v>
      </c>
      <c r="N30" s="169"/>
      <c r="O30" s="91"/>
      <c r="P30" s="168" t="s">
        <v>59</v>
      </c>
      <c r="Q30" s="1">
        <v>0</v>
      </c>
      <c r="S30" s="22"/>
    </row>
    <row r="31" spans="1:21" x14ac:dyDescent="0.2">
      <c r="A31" s="9"/>
      <c r="B31" s="25" t="s">
        <v>115</v>
      </c>
      <c r="C31" s="10" t="s">
        <v>116</v>
      </c>
      <c r="D31" s="7"/>
      <c r="E31" s="11">
        <f t="shared" si="0"/>
        <v>0</v>
      </c>
      <c r="F31" s="11">
        <f t="shared" si="1"/>
        <v>0</v>
      </c>
      <c r="G31" s="11"/>
      <c r="H31" s="11"/>
      <c r="I31" s="32"/>
      <c r="J31" s="32"/>
      <c r="K31" s="32"/>
      <c r="L31" s="29">
        <f t="shared" si="2"/>
        <v>0</v>
      </c>
      <c r="M31" s="29"/>
      <c r="N31" s="169"/>
      <c r="O31" s="91"/>
      <c r="R31" s="18"/>
      <c r="S31" s="3"/>
    </row>
    <row r="32" spans="1:21" x14ac:dyDescent="0.2">
      <c r="A32" s="9"/>
      <c r="B32" s="25" t="s">
        <v>165</v>
      </c>
      <c r="C32" s="10" t="s">
        <v>166</v>
      </c>
      <c r="D32" s="7"/>
      <c r="E32" s="11">
        <f t="shared" si="0"/>
        <v>0</v>
      </c>
      <c r="F32" s="11">
        <f t="shared" si="1"/>
        <v>0</v>
      </c>
      <c r="G32" s="11"/>
      <c r="H32" s="11"/>
      <c r="I32" s="32"/>
      <c r="J32" s="32"/>
      <c r="K32" s="32"/>
      <c r="L32" s="29">
        <f t="shared" si="2"/>
        <v>0</v>
      </c>
      <c r="M32" s="29"/>
      <c r="N32" s="169"/>
      <c r="O32" s="91"/>
    </row>
    <row r="33" spans="1:19" x14ac:dyDescent="0.2">
      <c r="A33" s="9"/>
      <c r="B33" s="25" t="s">
        <v>152</v>
      </c>
      <c r="C33" s="10" t="s">
        <v>153</v>
      </c>
      <c r="D33" s="7">
        <v>224</v>
      </c>
      <c r="E33" s="11">
        <f t="shared" si="0"/>
        <v>56</v>
      </c>
      <c r="F33" s="11">
        <f t="shared" si="1"/>
        <v>2</v>
      </c>
      <c r="G33" s="11">
        <v>0</v>
      </c>
      <c r="H33" s="11">
        <v>3.5</v>
      </c>
      <c r="I33" s="32">
        <v>83</v>
      </c>
      <c r="J33" s="32">
        <v>0</v>
      </c>
      <c r="K33" s="32">
        <v>0</v>
      </c>
      <c r="L33" s="29">
        <f t="shared" si="2"/>
        <v>-21.5</v>
      </c>
      <c r="M33" s="29">
        <v>-21</v>
      </c>
      <c r="N33" s="169"/>
      <c r="O33" s="91"/>
    </row>
    <row r="34" spans="1:19" x14ac:dyDescent="0.2">
      <c r="A34" s="9"/>
      <c r="B34" s="25" t="s">
        <v>142</v>
      </c>
      <c r="C34" s="10" t="s">
        <v>143</v>
      </c>
      <c r="D34" s="7">
        <v>110</v>
      </c>
      <c r="E34" s="11">
        <f t="shared" si="0"/>
        <v>27.5</v>
      </c>
      <c r="F34" s="11">
        <f t="shared" si="1"/>
        <v>2</v>
      </c>
      <c r="G34" s="11">
        <v>0</v>
      </c>
      <c r="H34" s="11">
        <v>0</v>
      </c>
      <c r="I34" s="32">
        <v>44</v>
      </c>
      <c r="J34" s="32">
        <v>9.1999999999999993</v>
      </c>
      <c r="K34" s="32">
        <v>0</v>
      </c>
      <c r="L34" s="29">
        <f t="shared" si="2"/>
        <v>-23.7</v>
      </c>
      <c r="M34" s="29">
        <v>-24</v>
      </c>
      <c r="N34" s="169"/>
      <c r="O34" s="91"/>
      <c r="R34" s="18"/>
      <c r="S34" s="1"/>
    </row>
    <row r="35" spans="1:19" x14ac:dyDescent="0.2">
      <c r="A35" s="9"/>
      <c r="B35" s="25" t="s">
        <v>77</v>
      </c>
      <c r="C35" s="10" t="s">
        <v>100</v>
      </c>
      <c r="D35" s="7"/>
      <c r="E35" s="11">
        <f t="shared" si="0"/>
        <v>0</v>
      </c>
      <c r="F35" s="11">
        <f t="shared" si="1"/>
        <v>0</v>
      </c>
      <c r="G35" s="11"/>
      <c r="H35" s="11"/>
      <c r="I35" s="32"/>
      <c r="J35" s="32"/>
      <c r="K35" s="32"/>
      <c r="L35" s="29">
        <f t="shared" si="2"/>
        <v>0</v>
      </c>
      <c r="M35" s="29"/>
      <c r="N35" s="169"/>
      <c r="O35" s="91"/>
      <c r="R35" s="18"/>
      <c r="S35" s="1"/>
    </row>
    <row r="36" spans="1:19" x14ac:dyDescent="0.2">
      <c r="A36" s="9"/>
      <c r="B36" s="25" t="s">
        <v>73</v>
      </c>
      <c r="C36" s="10" t="s">
        <v>74</v>
      </c>
      <c r="D36" s="7"/>
      <c r="E36" s="11">
        <f t="shared" si="0"/>
        <v>0</v>
      </c>
      <c r="F36" s="11">
        <f t="shared" si="1"/>
        <v>0</v>
      </c>
      <c r="G36" s="11"/>
      <c r="H36" s="11"/>
      <c r="I36" s="32"/>
      <c r="J36" s="32"/>
      <c r="K36" s="32"/>
      <c r="L36" s="29">
        <f t="shared" si="2"/>
        <v>0</v>
      </c>
      <c r="M36" s="29"/>
      <c r="N36" s="169"/>
      <c r="O36" s="91"/>
      <c r="R36" s="18"/>
      <c r="S36" s="1"/>
    </row>
    <row r="37" spans="1:19" x14ac:dyDescent="0.2">
      <c r="A37" s="102"/>
      <c r="B37" s="25" t="s">
        <v>25</v>
      </c>
      <c r="C37" s="10" t="s">
        <v>26</v>
      </c>
      <c r="D37" s="7"/>
      <c r="E37" s="11">
        <f t="shared" si="0"/>
        <v>0</v>
      </c>
      <c r="F37" s="11">
        <f t="shared" si="1"/>
        <v>0</v>
      </c>
      <c r="G37" s="11"/>
      <c r="H37" s="11"/>
      <c r="I37" s="32"/>
      <c r="J37" s="32"/>
      <c r="K37" s="32"/>
      <c r="L37" s="29">
        <f t="shared" si="2"/>
        <v>0</v>
      </c>
      <c r="M37" s="29"/>
      <c r="N37" s="169"/>
      <c r="O37" s="91"/>
    </row>
    <row r="38" spans="1:19" x14ac:dyDescent="0.2">
      <c r="A38" s="9"/>
      <c r="B38" s="25"/>
      <c r="C38" s="10"/>
      <c r="D38" s="7"/>
      <c r="E38" s="11">
        <f t="shared" si="0"/>
        <v>0</v>
      </c>
      <c r="F38" s="11">
        <f t="shared" si="1"/>
        <v>0</v>
      </c>
      <c r="G38" s="11"/>
      <c r="H38" s="11"/>
      <c r="I38" s="32"/>
      <c r="J38" s="32"/>
      <c r="K38" s="32"/>
      <c r="L38" s="29">
        <f t="shared" si="2"/>
        <v>0</v>
      </c>
      <c r="M38" s="29"/>
      <c r="N38" s="169"/>
      <c r="O38" s="91"/>
    </row>
    <row r="39" spans="1:19" x14ac:dyDescent="0.2">
      <c r="A39" s="9"/>
      <c r="B39" s="25"/>
      <c r="C39" s="10"/>
      <c r="D39" s="7"/>
      <c r="E39" s="11">
        <f t="shared" si="0"/>
        <v>0</v>
      </c>
      <c r="F39" s="11">
        <f t="shared" si="1"/>
        <v>0</v>
      </c>
      <c r="G39" s="11"/>
      <c r="H39" s="11"/>
      <c r="I39" s="32"/>
      <c r="J39" s="32"/>
      <c r="K39" s="32"/>
      <c r="L39" s="29">
        <f t="shared" si="2"/>
        <v>0</v>
      </c>
      <c r="M39" s="29"/>
      <c r="N39" s="169"/>
      <c r="O39" s="91"/>
    </row>
    <row r="40" spans="1:19" x14ac:dyDescent="0.2">
      <c r="A40" s="9"/>
      <c r="B40" s="25"/>
      <c r="C40" s="10"/>
      <c r="D40" s="7"/>
      <c r="E40" s="11">
        <f t="shared" si="0"/>
        <v>0</v>
      </c>
      <c r="F40" s="11">
        <f t="shared" si="1"/>
        <v>0</v>
      </c>
      <c r="G40" s="11"/>
      <c r="H40" s="11"/>
      <c r="I40" s="32"/>
      <c r="J40" s="32"/>
      <c r="K40" s="32"/>
      <c r="L40" s="29">
        <f t="shared" si="2"/>
        <v>0</v>
      </c>
      <c r="M40" s="29"/>
      <c r="N40" s="169"/>
      <c r="O40" s="91"/>
    </row>
    <row r="41" spans="1:19" x14ac:dyDescent="0.2">
      <c r="A41" s="9"/>
      <c r="B41" s="25"/>
      <c r="C41" s="10"/>
      <c r="D41" s="8"/>
      <c r="E41" s="11">
        <f t="shared" si="0"/>
        <v>0</v>
      </c>
      <c r="F41" s="11">
        <f t="shared" si="1"/>
        <v>0</v>
      </c>
      <c r="G41" s="11"/>
      <c r="H41" s="11"/>
      <c r="I41" s="33"/>
      <c r="J41" s="33"/>
      <c r="K41" s="33"/>
      <c r="L41" s="29">
        <f t="shared" si="2"/>
        <v>0</v>
      </c>
      <c r="M41" s="29"/>
      <c r="N41" s="171"/>
      <c r="O41" s="25"/>
    </row>
    <row r="42" spans="1:19" x14ac:dyDescent="0.2">
      <c r="A42" s="102"/>
      <c r="B42" s="25"/>
      <c r="C42" s="10"/>
      <c r="D42" s="7"/>
      <c r="E42" s="11">
        <f t="shared" si="0"/>
        <v>0</v>
      </c>
      <c r="F42" s="11">
        <f t="shared" si="1"/>
        <v>0</v>
      </c>
      <c r="G42" s="11"/>
      <c r="H42" s="11"/>
      <c r="I42" s="32"/>
      <c r="J42" s="32"/>
      <c r="K42" s="32"/>
      <c r="L42" s="29">
        <f t="shared" si="2"/>
        <v>0</v>
      </c>
      <c r="M42" s="29"/>
      <c r="N42" s="169"/>
      <c r="O42" s="91"/>
    </row>
    <row r="43" spans="1:19" x14ac:dyDescent="0.2">
      <c r="A43" s="9"/>
      <c r="B43" s="25"/>
      <c r="C43" s="10"/>
      <c r="D43" s="7"/>
      <c r="E43" s="11">
        <f t="shared" si="0"/>
        <v>0</v>
      </c>
      <c r="F43" s="11">
        <f t="shared" si="1"/>
        <v>0</v>
      </c>
      <c r="G43" s="11"/>
      <c r="H43" s="11"/>
      <c r="I43" s="32"/>
      <c r="J43" s="32"/>
      <c r="K43" s="32"/>
      <c r="L43" s="29">
        <f t="shared" si="2"/>
        <v>0</v>
      </c>
      <c r="M43" s="29"/>
      <c r="N43" s="169"/>
      <c r="O43" s="91"/>
    </row>
    <row r="44" spans="1:19" x14ac:dyDescent="0.2">
      <c r="A44" s="9"/>
      <c r="B44" s="25"/>
      <c r="C44" s="10"/>
      <c r="D44" s="7"/>
      <c r="E44" s="11">
        <f t="shared" si="0"/>
        <v>0</v>
      </c>
      <c r="F44" s="11">
        <f t="shared" si="1"/>
        <v>0</v>
      </c>
      <c r="G44" s="11"/>
      <c r="H44" s="11"/>
      <c r="I44" s="32"/>
      <c r="J44" s="32"/>
      <c r="K44" s="32"/>
      <c r="L44" s="29">
        <f t="shared" si="2"/>
        <v>0</v>
      </c>
      <c r="M44" s="29"/>
      <c r="N44" s="169"/>
      <c r="O44" s="91"/>
    </row>
    <row r="45" spans="1:19" x14ac:dyDescent="0.2">
      <c r="A45" s="9"/>
      <c r="B45" s="103"/>
      <c r="C45" s="10"/>
      <c r="D45" s="7"/>
      <c r="E45" s="11">
        <f t="shared" si="0"/>
        <v>0</v>
      </c>
      <c r="F45" s="11">
        <f t="shared" si="1"/>
        <v>0</v>
      </c>
      <c r="G45" s="11"/>
      <c r="H45" s="11"/>
      <c r="I45" s="32"/>
      <c r="J45" s="32"/>
      <c r="K45" s="32"/>
      <c r="L45" s="29">
        <f t="shared" si="2"/>
        <v>0</v>
      </c>
      <c r="M45" s="29"/>
      <c r="N45" s="169"/>
      <c r="O45" s="91"/>
    </row>
    <row r="46" spans="1:19" x14ac:dyDescent="0.2">
      <c r="A46" s="9"/>
      <c r="B46" s="25"/>
      <c r="C46" s="10"/>
      <c r="D46" s="7"/>
      <c r="E46" s="11">
        <f t="shared" si="0"/>
        <v>0</v>
      </c>
      <c r="F46" s="11">
        <f t="shared" si="1"/>
        <v>0</v>
      </c>
      <c r="G46" s="11"/>
      <c r="H46" s="11"/>
      <c r="I46" s="32"/>
      <c r="J46" s="32"/>
      <c r="K46" s="32"/>
      <c r="L46" s="29">
        <f t="shared" si="2"/>
        <v>0</v>
      </c>
      <c r="M46" s="29"/>
      <c r="N46" s="169"/>
      <c r="O46" s="91"/>
    </row>
    <row r="47" spans="1:19" x14ac:dyDescent="0.2">
      <c r="A47" s="9"/>
      <c r="B47" s="25"/>
      <c r="C47" s="10"/>
      <c r="D47" s="7"/>
      <c r="E47" s="11">
        <f t="shared" si="0"/>
        <v>0</v>
      </c>
      <c r="F47" s="11">
        <f t="shared" si="1"/>
        <v>0</v>
      </c>
      <c r="G47" s="11"/>
      <c r="H47" s="11"/>
      <c r="I47" s="32"/>
      <c r="J47" s="32"/>
      <c r="K47" s="32"/>
      <c r="L47" s="29">
        <f t="shared" si="2"/>
        <v>0</v>
      </c>
      <c r="M47" s="29"/>
      <c r="N47" s="169"/>
      <c r="O47" s="91"/>
    </row>
    <row r="48" spans="1:19" x14ac:dyDescent="0.2">
      <c r="D48" s="3">
        <f t="shared" ref="D48:N48" si="3">SUM(D4:D47)</f>
        <v>2731</v>
      </c>
      <c r="E48" s="21">
        <f t="shared" si="3"/>
        <v>1258.5</v>
      </c>
      <c r="F48" s="3">
        <f t="shared" si="3"/>
        <v>104</v>
      </c>
      <c r="G48" s="3">
        <f t="shared" si="3"/>
        <v>16.5</v>
      </c>
      <c r="H48" s="3">
        <f t="shared" si="3"/>
        <v>68.75</v>
      </c>
      <c r="I48" s="3">
        <f t="shared" si="3"/>
        <v>1054.92</v>
      </c>
      <c r="J48" s="3">
        <f t="shared" si="3"/>
        <v>562.79000000000008</v>
      </c>
      <c r="K48" s="3">
        <f t="shared" si="3"/>
        <v>14</v>
      </c>
      <c r="L48" s="3">
        <f t="shared" si="3"/>
        <v>-183.96</v>
      </c>
      <c r="M48" s="3">
        <f t="shared" si="3"/>
        <v>-202</v>
      </c>
      <c r="N48" s="3">
        <f t="shared" si="3"/>
        <v>15</v>
      </c>
      <c r="O48" s="174"/>
    </row>
  </sheetData>
  <mergeCells count="1">
    <mergeCell ref="R27:S27"/>
  </mergeCells>
  <conditionalFormatting sqref="C4:C30">
    <cfRule type="expression" dxfId="43" priority="2">
      <formula>$M4&lt;0</formula>
    </cfRule>
  </conditionalFormatting>
  <conditionalFormatting sqref="C32">
    <cfRule type="expression" dxfId="42" priority="3">
      <formula>$M32&lt;0</formula>
    </cfRule>
  </conditionalFormatting>
  <conditionalFormatting sqref="C33">
    <cfRule type="expression" dxfId="41" priority="6">
      <formula>#REF!&lt;0</formula>
    </cfRule>
  </conditionalFormatting>
  <conditionalFormatting sqref="C34:C47">
    <cfRule type="expression" dxfId="40" priority="1">
      <formula>$M34&lt;0</formula>
    </cfRule>
  </conditionalFormatting>
  <conditionalFormatting sqref="M4:M47">
    <cfRule type="cellIs" dxfId="39" priority="32" operator="lessThan">
      <formula>0</formula>
    </cfRule>
  </conditionalFormatting>
  <pageMargins left="0.7" right="0.7" top="0.75" bottom="0.75" header="0.3" footer="0.3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53"/>
  <sheetViews>
    <sheetView showGridLines="0" workbookViewId="0">
      <selection activeCell="N23" sqref="N23"/>
    </sheetView>
  </sheetViews>
  <sheetFormatPr baseColWidth="10" defaultColWidth="8.83203125" defaultRowHeight="15" x14ac:dyDescent="0.2"/>
  <cols>
    <col min="1" max="1" width="5.5" style="1" customWidth="1"/>
    <col min="2" max="2" width="12.1640625" style="26" customWidth="1"/>
    <col min="3" max="3" width="18.5" style="1" bestFit="1" customWidth="1"/>
    <col min="4" max="13" width="12.1640625" customWidth="1"/>
    <col min="14" max="14" width="12.5" bestFit="1" customWidth="1"/>
    <col min="15" max="15" width="15.83203125" customWidth="1"/>
    <col min="16" max="17" width="6" style="1" customWidth="1"/>
    <col min="18" max="18" width="12.5" bestFit="1" customWidth="1"/>
    <col min="19" max="19" width="10.5" customWidth="1"/>
  </cols>
  <sheetData>
    <row r="1" spans="1:22" x14ac:dyDescent="0.2">
      <c r="A1" s="4" t="s">
        <v>0</v>
      </c>
      <c r="B1" s="108">
        <f>'Mon AM'!B1+3</f>
        <v>46121</v>
      </c>
      <c r="C1" s="208"/>
      <c r="D1" s="4" t="s">
        <v>1</v>
      </c>
      <c r="E1" s="6" t="s">
        <v>2</v>
      </c>
    </row>
    <row r="3" spans="1:22" x14ac:dyDescent="0.2">
      <c r="A3" s="4"/>
      <c r="B3" s="23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101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28" t="s">
        <v>16</v>
      </c>
      <c r="P3" s="27"/>
      <c r="Q3" s="27"/>
    </row>
    <row r="4" spans="1:22" x14ac:dyDescent="0.2">
      <c r="A4" s="10"/>
      <c r="B4" s="24" t="s">
        <v>17</v>
      </c>
      <c r="C4" s="10" t="s">
        <v>18</v>
      </c>
      <c r="D4" s="11">
        <v>250</v>
      </c>
      <c r="E4" s="11">
        <f t="shared" ref="E4:E47" si="0">IF(AND(VALUE(B4)&lt;100, D4&gt;0),D4*0.5,D4*0.25)</f>
        <v>125</v>
      </c>
      <c r="F4" s="11">
        <f t="shared" ref="F4:F47" si="1">IF(P4="C",Q4,IF(AND(VALUE(B4)&lt;100, D4&gt;0),12,IF(D4&gt;0,2,0)))</f>
        <v>12</v>
      </c>
      <c r="G4" s="11">
        <v>2.75</v>
      </c>
      <c r="H4" s="11">
        <v>7</v>
      </c>
      <c r="I4" s="31">
        <v>61</v>
      </c>
      <c r="J4" s="31">
        <v>138.31</v>
      </c>
      <c r="K4" s="31">
        <v>0</v>
      </c>
      <c r="L4" s="29">
        <f t="shared" ref="L4:L47" si="2">(E4+F4+G4+H4)-I4-J4-K4</f>
        <v>-52.56</v>
      </c>
      <c r="M4" s="29">
        <v>-53</v>
      </c>
      <c r="N4" s="169">
        <v>-7</v>
      </c>
      <c r="O4" s="172" t="s">
        <v>171</v>
      </c>
      <c r="P4" s="27"/>
      <c r="Q4" s="27">
        <v>0</v>
      </c>
      <c r="R4" s="15" t="s">
        <v>19</v>
      </c>
      <c r="S4" s="12">
        <f>D48</f>
        <v>8099.25</v>
      </c>
      <c r="U4" s="36"/>
      <c r="V4" s="1"/>
    </row>
    <row r="5" spans="1:22" x14ac:dyDescent="0.2">
      <c r="A5" s="9"/>
      <c r="B5" s="25" t="s">
        <v>20</v>
      </c>
      <c r="C5" s="10" t="s">
        <v>21</v>
      </c>
      <c r="D5" s="7">
        <v>571</v>
      </c>
      <c r="E5" s="11">
        <f t="shared" si="0"/>
        <v>285.5</v>
      </c>
      <c r="F5" s="11">
        <f t="shared" si="1"/>
        <v>12</v>
      </c>
      <c r="G5" s="11">
        <v>0</v>
      </c>
      <c r="H5" s="11">
        <v>14</v>
      </c>
      <c r="I5" s="32">
        <v>354.2</v>
      </c>
      <c r="J5" s="32">
        <v>0</v>
      </c>
      <c r="K5" s="32">
        <v>0</v>
      </c>
      <c r="L5" s="29">
        <f t="shared" si="2"/>
        <v>-42.699999999999989</v>
      </c>
      <c r="M5" s="29">
        <v>-43</v>
      </c>
      <c r="N5" s="169"/>
      <c r="O5" s="91"/>
      <c r="P5" s="27"/>
      <c r="Q5" s="27">
        <v>0</v>
      </c>
      <c r="R5" s="16" t="s">
        <v>22</v>
      </c>
      <c r="S5" s="13">
        <f>E48</f>
        <v>3662.125</v>
      </c>
      <c r="U5" s="1"/>
      <c r="V5" s="1"/>
    </row>
    <row r="6" spans="1:22" x14ac:dyDescent="0.2">
      <c r="A6" s="9"/>
      <c r="B6" s="25" t="s">
        <v>23</v>
      </c>
      <c r="C6" s="10" t="s">
        <v>24</v>
      </c>
      <c r="D6" s="7">
        <v>172</v>
      </c>
      <c r="E6" s="11">
        <f t="shared" si="0"/>
        <v>43</v>
      </c>
      <c r="F6" s="11">
        <f t="shared" si="1"/>
        <v>2</v>
      </c>
      <c r="G6" s="11">
        <v>2.75</v>
      </c>
      <c r="H6" s="11">
        <v>0.75</v>
      </c>
      <c r="I6" s="32">
        <v>58</v>
      </c>
      <c r="J6" s="32">
        <v>0</v>
      </c>
      <c r="K6" s="32">
        <v>0</v>
      </c>
      <c r="L6" s="29">
        <f t="shared" si="2"/>
        <v>-9.5</v>
      </c>
      <c r="M6" s="29">
        <v>-9</v>
      </c>
      <c r="N6" s="169"/>
      <c r="O6" s="91"/>
      <c r="P6" s="27"/>
      <c r="Q6" s="27">
        <v>6</v>
      </c>
      <c r="R6" s="16" t="s">
        <v>7</v>
      </c>
      <c r="S6" s="13">
        <f>F48</f>
        <v>254</v>
      </c>
      <c r="U6" s="22"/>
    </row>
    <row r="7" spans="1:22" x14ac:dyDescent="0.2">
      <c r="A7" s="9"/>
      <c r="B7" s="25" t="s">
        <v>25</v>
      </c>
      <c r="C7" s="10" t="s">
        <v>26</v>
      </c>
      <c r="D7" s="7">
        <v>359</v>
      </c>
      <c r="E7" s="11">
        <f t="shared" si="0"/>
        <v>89.75</v>
      </c>
      <c r="F7" s="11">
        <f t="shared" si="1"/>
        <v>2</v>
      </c>
      <c r="G7" s="11">
        <v>2.75</v>
      </c>
      <c r="H7" s="11">
        <v>0.75</v>
      </c>
      <c r="I7" s="32">
        <v>39.75</v>
      </c>
      <c r="J7" s="32">
        <v>186.16</v>
      </c>
      <c r="K7" s="32">
        <v>0</v>
      </c>
      <c r="L7" s="29">
        <f t="shared" si="2"/>
        <v>-130.66</v>
      </c>
      <c r="M7" s="29">
        <v>-131</v>
      </c>
      <c r="N7" s="169"/>
      <c r="O7" s="91"/>
      <c r="P7" s="27"/>
      <c r="Q7" s="27">
        <v>6</v>
      </c>
      <c r="R7" s="16" t="s">
        <v>8</v>
      </c>
      <c r="S7" s="13">
        <f>G48</f>
        <v>57.75</v>
      </c>
      <c r="U7" s="22"/>
    </row>
    <row r="8" spans="1:22" x14ac:dyDescent="0.2">
      <c r="A8" s="9"/>
      <c r="B8" s="25" t="s">
        <v>27</v>
      </c>
      <c r="C8" s="10" t="s">
        <v>28</v>
      </c>
      <c r="D8" s="7">
        <v>335</v>
      </c>
      <c r="E8" s="11">
        <f t="shared" si="0"/>
        <v>167.5</v>
      </c>
      <c r="F8" s="11">
        <f t="shared" si="1"/>
        <v>12</v>
      </c>
      <c r="G8" s="11">
        <v>0</v>
      </c>
      <c r="H8" s="11">
        <v>14</v>
      </c>
      <c r="I8" s="32">
        <v>206.5</v>
      </c>
      <c r="J8" s="32">
        <v>0</v>
      </c>
      <c r="K8" s="32">
        <v>0</v>
      </c>
      <c r="L8" s="29">
        <f t="shared" si="2"/>
        <v>-13</v>
      </c>
      <c r="M8" s="29">
        <v>-13</v>
      </c>
      <c r="N8" s="169"/>
      <c r="O8" s="91"/>
      <c r="P8" s="27"/>
      <c r="Q8" s="27"/>
      <c r="R8" s="16" t="s">
        <v>9</v>
      </c>
      <c r="S8" s="13">
        <f>H48</f>
        <v>148.5</v>
      </c>
      <c r="U8" s="22"/>
    </row>
    <row r="9" spans="1:22" x14ac:dyDescent="0.2">
      <c r="A9" s="9"/>
      <c r="B9" s="25" t="s">
        <v>29</v>
      </c>
      <c r="C9" s="10" t="s">
        <v>30</v>
      </c>
      <c r="D9" s="7"/>
      <c r="E9" s="11">
        <f t="shared" si="0"/>
        <v>0</v>
      </c>
      <c r="F9" s="11">
        <f t="shared" si="1"/>
        <v>0</v>
      </c>
      <c r="G9" s="11"/>
      <c r="H9" s="11"/>
      <c r="I9" s="32"/>
      <c r="J9" s="32"/>
      <c r="K9" s="32"/>
      <c r="L9" s="29">
        <f t="shared" si="2"/>
        <v>0</v>
      </c>
      <c r="M9" s="29"/>
      <c r="N9" s="169"/>
      <c r="O9" s="91"/>
      <c r="P9" s="27"/>
      <c r="Q9" s="27">
        <v>0</v>
      </c>
      <c r="R9" s="16" t="s">
        <v>10</v>
      </c>
      <c r="S9" s="13">
        <f>I48</f>
        <v>2719.2800000000007</v>
      </c>
      <c r="U9" s="22"/>
    </row>
    <row r="10" spans="1:22" x14ac:dyDescent="0.2">
      <c r="A10" s="9"/>
      <c r="B10" s="25" t="s">
        <v>31</v>
      </c>
      <c r="C10" s="10" t="s">
        <v>32</v>
      </c>
      <c r="D10" s="7">
        <v>245</v>
      </c>
      <c r="E10" s="11">
        <f t="shared" si="0"/>
        <v>122.5</v>
      </c>
      <c r="F10" s="11">
        <f t="shared" si="1"/>
        <v>12</v>
      </c>
      <c r="G10" s="11">
        <v>0</v>
      </c>
      <c r="H10" s="11">
        <v>3.5</v>
      </c>
      <c r="I10" s="32">
        <v>183.17</v>
      </c>
      <c r="J10" s="32">
        <v>20.7</v>
      </c>
      <c r="K10" s="32">
        <v>0</v>
      </c>
      <c r="L10" s="29">
        <f t="shared" si="2"/>
        <v>-65.86999999999999</v>
      </c>
      <c r="M10" s="29">
        <v>-66</v>
      </c>
      <c r="N10" s="169">
        <v>-62</v>
      </c>
      <c r="O10" s="91" t="s">
        <v>172</v>
      </c>
      <c r="P10" s="27"/>
      <c r="Q10" s="27"/>
      <c r="R10" s="16" t="s">
        <v>11</v>
      </c>
      <c r="S10" s="13">
        <f>J48</f>
        <v>1962.12</v>
      </c>
      <c r="U10" s="22"/>
    </row>
    <row r="11" spans="1:22" x14ac:dyDescent="0.2">
      <c r="A11" s="9"/>
      <c r="B11" s="25" t="s">
        <v>33</v>
      </c>
      <c r="C11" s="10" t="s">
        <v>34</v>
      </c>
      <c r="D11" s="7">
        <v>160</v>
      </c>
      <c r="E11" s="11">
        <f t="shared" si="0"/>
        <v>40</v>
      </c>
      <c r="F11" s="11">
        <f t="shared" si="1"/>
        <v>2</v>
      </c>
      <c r="G11" s="11">
        <v>0</v>
      </c>
      <c r="H11" s="11">
        <v>0</v>
      </c>
      <c r="I11" s="32">
        <v>0</v>
      </c>
      <c r="J11" s="32">
        <v>8.0500000000000007</v>
      </c>
      <c r="K11" s="32">
        <v>0</v>
      </c>
      <c r="L11" s="29">
        <f t="shared" si="2"/>
        <v>33.950000000000003</v>
      </c>
      <c r="M11" s="29">
        <v>34</v>
      </c>
      <c r="N11" s="169">
        <v>0</v>
      </c>
      <c r="O11" s="91"/>
      <c r="P11" s="27"/>
      <c r="Q11" s="27"/>
      <c r="R11" s="16" t="s">
        <v>12</v>
      </c>
      <c r="S11" s="13">
        <f>K48</f>
        <v>0</v>
      </c>
      <c r="U11" s="22"/>
    </row>
    <row r="12" spans="1:22" x14ac:dyDescent="0.2">
      <c r="A12" s="9"/>
      <c r="B12" s="25" t="s">
        <v>35</v>
      </c>
      <c r="C12" s="10" t="s">
        <v>36</v>
      </c>
      <c r="D12" s="7">
        <v>201</v>
      </c>
      <c r="E12" s="11">
        <f t="shared" si="0"/>
        <v>50.25</v>
      </c>
      <c r="F12" s="11">
        <f t="shared" si="1"/>
        <v>2</v>
      </c>
      <c r="G12" s="11">
        <v>0</v>
      </c>
      <c r="H12" s="11">
        <v>3.5</v>
      </c>
      <c r="I12" s="32">
        <v>83.5</v>
      </c>
      <c r="J12" s="32">
        <v>57.5</v>
      </c>
      <c r="K12" s="32">
        <v>0</v>
      </c>
      <c r="L12" s="29">
        <f t="shared" si="2"/>
        <v>-85.25</v>
      </c>
      <c r="M12" s="29">
        <v>-85</v>
      </c>
      <c r="N12" s="169"/>
      <c r="O12" s="91"/>
      <c r="P12" s="27"/>
      <c r="Q12" s="27">
        <v>6</v>
      </c>
      <c r="R12" s="17" t="s">
        <v>37</v>
      </c>
      <c r="S12" s="14">
        <f>N48</f>
        <v>-73</v>
      </c>
      <c r="U12" s="22"/>
    </row>
    <row r="13" spans="1:22" x14ac:dyDescent="0.2">
      <c r="A13" s="9"/>
      <c r="B13" s="25" t="s">
        <v>38</v>
      </c>
      <c r="C13" s="10" t="s">
        <v>39</v>
      </c>
      <c r="D13" s="7">
        <v>234</v>
      </c>
      <c r="E13" s="11">
        <f t="shared" si="0"/>
        <v>58.5</v>
      </c>
      <c r="F13" s="11">
        <f t="shared" si="1"/>
        <v>2</v>
      </c>
      <c r="G13" s="11">
        <v>2.75</v>
      </c>
      <c r="H13" s="11">
        <v>4.25</v>
      </c>
      <c r="I13" s="32">
        <v>106.56</v>
      </c>
      <c r="J13" s="32">
        <v>23</v>
      </c>
      <c r="K13" s="32">
        <v>0</v>
      </c>
      <c r="L13" s="29">
        <f t="shared" si="2"/>
        <v>-62.06</v>
      </c>
      <c r="M13" s="29">
        <v>-62</v>
      </c>
      <c r="N13" s="169"/>
      <c r="O13" s="91"/>
      <c r="P13" s="27"/>
      <c r="Q13" s="27">
        <v>6</v>
      </c>
      <c r="R13" s="18"/>
      <c r="S13" s="30">
        <f>S5+S6+S7-S9-S10-S11-S12</f>
        <v>-634.52500000000055</v>
      </c>
      <c r="U13" s="22"/>
    </row>
    <row r="14" spans="1:22" x14ac:dyDescent="0.2">
      <c r="A14" s="9"/>
      <c r="B14" s="25" t="s">
        <v>40</v>
      </c>
      <c r="C14" s="10" t="s">
        <v>41</v>
      </c>
      <c r="D14" s="7">
        <v>279</v>
      </c>
      <c r="E14" s="11">
        <f t="shared" si="0"/>
        <v>139.5</v>
      </c>
      <c r="F14" s="11">
        <f t="shared" si="1"/>
        <v>12</v>
      </c>
      <c r="G14" s="11">
        <v>2.75</v>
      </c>
      <c r="H14" s="11">
        <v>3.5</v>
      </c>
      <c r="I14" s="32">
        <v>0</v>
      </c>
      <c r="J14" s="32">
        <v>228.71</v>
      </c>
      <c r="K14" s="32">
        <v>0</v>
      </c>
      <c r="L14" s="29">
        <f t="shared" si="2"/>
        <v>-70.960000000000008</v>
      </c>
      <c r="M14" s="29">
        <v>-71</v>
      </c>
      <c r="N14" s="169"/>
      <c r="O14" s="91"/>
      <c r="P14" s="27"/>
      <c r="Q14" s="27">
        <v>6</v>
      </c>
      <c r="R14" s="19" t="s">
        <v>42</v>
      </c>
      <c r="S14" s="20">
        <f>M48</f>
        <v>-559</v>
      </c>
      <c r="U14" s="22"/>
    </row>
    <row r="15" spans="1:22" x14ac:dyDescent="0.2">
      <c r="A15" s="9"/>
      <c r="B15" s="25" t="s">
        <v>43</v>
      </c>
      <c r="C15" s="10" t="s">
        <v>44</v>
      </c>
      <c r="D15" s="7">
        <v>361.25</v>
      </c>
      <c r="E15" s="11">
        <f t="shared" si="0"/>
        <v>180.625</v>
      </c>
      <c r="F15" s="11">
        <f t="shared" si="1"/>
        <v>12</v>
      </c>
      <c r="G15" s="11">
        <v>5.5</v>
      </c>
      <c r="H15" s="11">
        <v>5</v>
      </c>
      <c r="I15" s="32">
        <v>142.46</v>
      </c>
      <c r="J15" s="32">
        <v>207.9</v>
      </c>
      <c r="K15" s="32">
        <v>0</v>
      </c>
      <c r="L15" s="29">
        <f t="shared" si="2"/>
        <v>-147.23500000000001</v>
      </c>
      <c r="M15" s="29">
        <v>-147</v>
      </c>
      <c r="N15" s="169">
        <v>-4</v>
      </c>
      <c r="O15" s="91" t="s">
        <v>167</v>
      </c>
      <c r="P15" s="27"/>
      <c r="Q15" s="27">
        <v>0</v>
      </c>
      <c r="U15" s="22"/>
    </row>
    <row r="16" spans="1:22" x14ac:dyDescent="0.2">
      <c r="A16" s="9"/>
      <c r="B16" s="25" t="s">
        <v>45</v>
      </c>
      <c r="C16" s="10" t="s">
        <v>46</v>
      </c>
      <c r="D16" s="7">
        <v>258</v>
      </c>
      <c r="E16" s="11">
        <f t="shared" si="0"/>
        <v>129</v>
      </c>
      <c r="F16" s="11">
        <f t="shared" si="1"/>
        <v>12</v>
      </c>
      <c r="G16" s="11">
        <v>5.5</v>
      </c>
      <c r="H16" s="11">
        <v>1.5</v>
      </c>
      <c r="I16" s="32">
        <v>12</v>
      </c>
      <c r="J16" s="32">
        <v>0</v>
      </c>
      <c r="K16" s="32">
        <v>0</v>
      </c>
      <c r="L16" s="29">
        <f t="shared" si="2"/>
        <v>136</v>
      </c>
      <c r="M16" s="29">
        <v>136</v>
      </c>
      <c r="N16" s="169"/>
      <c r="O16" s="91"/>
      <c r="P16" s="27"/>
      <c r="Q16" s="27">
        <v>6</v>
      </c>
      <c r="U16" s="22"/>
    </row>
    <row r="17" spans="1:21" x14ac:dyDescent="0.2">
      <c r="A17" s="9"/>
      <c r="B17" s="25" t="s">
        <v>47</v>
      </c>
      <c r="C17" s="10" t="s">
        <v>48</v>
      </c>
      <c r="D17" s="7"/>
      <c r="E17" s="11">
        <f t="shared" si="0"/>
        <v>0</v>
      </c>
      <c r="F17" s="11">
        <f t="shared" si="1"/>
        <v>0</v>
      </c>
      <c r="G17" s="11"/>
      <c r="H17" s="11"/>
      <c r="I17" s="32"/>
      <c r="J17" s="32"/>
      <c r="K17" s="32"/>
      <c r="L17" s="29">
        <f t="shared" si="2"/>
        <v>0</v>
      </c>
      <c r="M17" s="29"/>
      <c r="N17" s="169"/>
      <c r="O17" s="91"/>
      <c r="P17" s="27"/>
      <c r="Q17" s="27">
        <v>6</v>
      </c>
      <c r="R17" s="34"/>
      <c r="S17" s="34"/>
      <c r="T17" s="34"/>
      <c r="U17" s="22"/>
    </row>
    <row r="18" spans="1:21" x14ac:dyDescent="0.2">
      <c r="A18" s="9"/>
      <c r="B18" s="25" t="s">
        <v>49</v>
      </c>
      <c r="C18" s="10" t="s">
        <v>50</v>
      </c>
      <c r="D18" s="7"/>
      <c r="E18" s="11">
        <f t="shared" si="0"/>
        <v>0</v>
      </c>
      <c r="F18" s="11">
        <f t="shared" si="1"/>
        <v>0</v>
      </c>
      <c r="G18" s="11"/>
      <c r="H18" s="11"/>
      <c r="I18" s="32"/>
      <c r="J18" s="32"/>
      <c r="K18" s="32"/>
      <c r="L18" s="29">
        <f t="shared" si="2"/>
        <v>0</v>
      </c>
      <c r="M18" s="29"/>
      <c r="N18" s="169"/>
      <c r="O18" s="91"/>
      <c r="P18" s="27"/>
      <c r="Q18" s="27">
        <v>0</v>
      </c>
      <c r="R18" s="15" t="s">
        <v>51</v>
      </c>
      <c r="S18" s="95">
        <f t="array" ref="S18">SUMPRODUCT((VALUE(B4:B47)&lt;100)*(D4:D47&gt;0))</f>
        <v>20</v>
      </c>
      <c r="T18" s="35"/>
      <c r="U18" s="22"/>
    </row>
    <row r="19" spans="1:21" x14ac:dyDescent="0.2">
      <c r="A19" s="9"/>
      <c r="B19" s="25" t="s">
        <v>27</v>
      </c>
      <c r="C19" s="10" t="s">
        <v>53</v>
      </c>
      <c r="D19" s="7"/>
      <c r="E19" s="11">
        <f t="shared" si="0"/>
        <v>0</v>
      </c>
      <c r="F19" s="11">
        <f t="shared" si="1"/>
        <v>0</v>
      </c>
      <c r="G19" s="11"/>
      <c r="H19" s="11"/>
      <c r="I19" s="32"/>
      <c r="J19" s="32"/>
      <c r="K19" s="32"/>
      <c r="L19" s="29">
        <f t="shared" si="2"/>
        <v>0</v>
      </c>
      <c r="M19" s="29"/>
      <c r="N19" s="170"/>
      <c r="O19" s="173"/>
      <c r="P19" s="27"/>
      <c r="Q19" s="27">
        <v>6</v>
      </c>
      <c r="R19" s="16" t="s">
        <v>54</v>
      </c>
      <c r="S19" s="96">
        <f t="array" ref="S19">SUMPRODUCT((VALUE(B4:B47)&gt;100)*(D4:D47&gt;0))</f>
        <v>7</v>
      </c>
      <c r="U19" s="22"/>
    </row>
    <row r="20" spans="1:21" x14ac:dyDescent="0.2">
      <c r="A20" s="9"/>
      <c r="B20" s="25" t="s">
        <v>55</v>
      </c>
      <c r="C20" s="10" t="s">
        <v>56</v>
      </c>
      <c r="D20" s="7">
        <v>275</v>
      </c>
      <c r="E20" s="11">
        <f t="shared" si="0"/>
        <v>137.5</v>
      </c>
      <c r="F20" s="11">
        <f t="shared" si="1"/>
        <v>12</v>
      </c>
      <c r="G20" s="11">
        <v>0</v>
      </c>
      <c r="H20" s="11">
        <v>10.5</v>
      </c>
      <c r="I20" s="32">
        <v>0</v>
      </c>
      <c r="J20" s="32">
        <v>0</v>
      </c>
      <c r="K20" s="32">
        <v>0</v>
      </c>
      <c r="L20" s="29">
        <f t="shared" si="2"/>
        <v>160</v>
      </c>
      <c r="M20" s="29">
        <v>160</v>
      </c>
      <c r="N20" s="169"/>
      <c r="O20" s="91"/>
      <c r="P20" s="27"/>
      <c r="Q20" s="27"/>
      <c r="R20" s="17" t="s">
        <v>57</v>
      </c>
      <c r="S20" s="97">
        <f>S18+S19</f>
        <v>27</v>
      </c>
      <c r="U20" s="22"/>
    </row>
    <row r="21" spans="1:21" x14ac:dyDescent="0.2">
      <c r="A21" s="9"/>
      <c r="B21" s="25" t="s">
        <v>27</v>
      </c>
      <c r="C21" s="10" t="s">
        <v>58</v>
      </c>
      <c r="D21" s="7"/>
      <c r="E21" s="11">
        <f t="shared" si="0"/>
        <v>0</v>
      </c>
      <c r="F21" s="11">
        <f t="shared" si="1"/>
        <v>0</v>
      </c>
      <c r="G21" s="11"/>
      <c r="H21" s="11"/>
      <c r="I21" s="32"/>
      <c r="J21" s="32"/>
      <c r="K21" s="32"/>
      <c r="L21" s="29">
        <f t="shared" si="2"/>
        <v>0</v>
      </c>
      <c r="M21" s="29"/>
      <c r="N21" s="169"/>
      <c r="O21" s="91"/>
      <c r="P21" s="27"/>
      <c r="Q21" s="27">
        <v>2</v>
      </c>
      <c r="U21" s="22"/>
    </row>
    <row r="22" spans="1:21" x14ac:dyDescent="0.2">
      <c r="A22" s="9"/>
      <c r="B22" s="25" t="s">
        <v>49</v>
      </c>
      <c r="C22" s="10" t="s">
        <v>60</v>
      </c>
      <c r="D22" s="7">
        <v>251</v>
      </c>
      <c r="E22" s="11">
        <f t="shared" si="0"/>
        <v>125.5</v>
      </c>
      <c r="F22" s="11">
        <f t="shared" si="1"/>
        <v>12</v>
      </c>
      <c r="G22" s="11">
        <v>0</v>
      </c>
      <c r="H22" s="11">
        <v>3.5</v>
      </c>
      <c r="I22" s="32">
        <v>64.8</v>
      </c>
      <c r="J22" s="32">
        <v>23</v>
      </c>
      <c r="K22" s="32">
        <v>0</v>
      </c>
      <c r="L22" s="29">
        <f t="shared" si="2"/>
        <v>53.2</v>
      </c>
      <c r="M22" s="29">
        <v>53</v>
      </c>
      <c r="N22" s="169"/>
      <c r="O22" s="91"/>
      <c r="P22" s="27"/>
      <c r="Q22" s="27">
        <v>6</v>
      </c>
      <c r="U22" s="22"/>
    </row>
    <row r="23" spans="1:21" x14ac:dyDescent="0.2">
      <c r="A23" s="9"/>
      <c r="B23" s="103" t="s">
        <v>61</v>
      </c>
      <c r="C23" s="10" t="s">
        <v>62</v>
      </c>
      <c r="D23" s="7">
        <v>204</v>
      </c>
      <c r="E23" s="11">
        <f t="shared" si="0"/>
        <v>51</v>
      </c>
      <c r="F23" s="11">
        <f t="shared" si="1"/>
        <v>2</v>
      </c>
      <c r="G23" s="11">
        <v>0</v>
      </c>
      <c r="H23" s="11">
        <v>3.5</v>
      </c>
      <c r="I23" s="32">
        <v>0</v>
      </c>
      <c r="J23" s="32">
        <v>0</v>
      </c>
      <c r="K23" s="32">
        <v>0</v>
      </c>
      <c r="L23" s="29">
        <f t="shared" si="2"/>
        <v>56.5</v>
      </c>
      <c r="M23" s="29">
        <v>57</v>
      </c>
      <c r="N23" s="169"/>
      <c r="O23" s="91"/>
      <c r="P23" s="27"/>
      <c r="Q23" s="27">
        <v>6</v>
      </c>
      <c r="U23" s="22"/>
    </row>
    <row r="24" spans="1:21" x14ac:dyDescent="0.2">
      <c r="A24" s="102"/>
      <c r="B24" s="25" t="s">
        <v>63</v>
      </c>
      <c r="C24" s="10" t="s">
        <v>64</v>
      </c>
      <c r="D24" s="7">
        <v>584</v>
      </c>
      <c r="E24" s="11">
        <f t="shared" si="0"/>
        <v>292</v>
      </c>
      <c r="F24" s="11">
        <f t="shared" si="1"/>
        <v>12</v>
      </c>
      <c r="G24" s="11">
        <v>2.75</v>
      </c>
      <c r="H24" s="11">
        <v>4.25</v>
      </c>
      <c r="I24" s="32">
        <v>63.5</v>
      </c>
      <c r="J24" s="32">
        <v>618.5</v>
      </c>
      <c r="K24" s="32">
        <v>0</v>
      </c>
      <c r="L24" s="29">
        <f t="shared" si="2"/>
        <v>-371</v>
      </c>
      <c r="M24" s="29">
        <v>-371</v>
      </c>
      <c r="N24" s="169"/>
      <c r="O24" s="91"/>
      <c r="P24" s="27"/>
      <c r="Q24" s="27">
        <v>6</v>
      </c>
      <c r="U24" s="22"/>
    </row>
    <row r="25" spans="1:21" x14ac:dyDescent="0.2">
      <c r="A25" s="9"/>
      <c r="B25" s="25" t="s">
        <v>65</v>
      </c>
      <c r="C25" s="10" t="s">
        <v>66</v>
      </c>
      <c r="D25" s="7">
        <v>304</v>
      </c>
      <c r="E25" s="11">
        <f t="shared" si="0"/>
        <v>152</v>
      </c>
      <c r="F25" s="11">
        <f t="shared" si="1"/>
        <v>12</v>
      </c>
      <c r="G25" s="11">
        <v>0</v>
      </c>
      <c r="H25" s="11">
        <v>0</v>
      </c>
      <c r="I25" s="32">
        <v>36.5</v>
      </c>
      <c r="J25" s="32">
        <v>0</v>
      </c>
      <c r="K25" s="32">
        <v>0</v>
      </c>
      <c r="L25" s="29">
        <f t="shared" si="2"/>
        <v>127.5</v>
      </c>
      <c r="M25" s="29">
        <v>127</v>
      </c>
      <c r="N25" s="169"/>
      <c r="O25" s="91"/>
      <c r="P25" s="27"/>
      <c r="Q25" s="27">
        <v>0</v>
      </c>
      <c r="U25" s="22"/>
    </row>
    <row r="26" spans="1:21" x14ac:dyDescent="0.2">
      <c r="A26" s="9"/>
      <c r="B26" s="25" t="s">
        <v>40</v>
      </c>
      <c r="C26" s="10" t="s">
        <v>107</v>
      </c>
      <c r="D26" s="7"/>
      <c r="E26" s="11">
        <f t="shared" si="0"/>
        <v>0</v>
      </c>
      <c r="F26" s="11">
        <f t="shared" si="1"/>
        <v>0</v>
      </c>
      <c r="G26" s="11"/>
      <c r="H26" s="11"/>
      <c r="I26" s="32"/>
      <c r="J26" s="32"/>
      <c r="K26" s="32"/>
      <c r="L26" s="29">
        <f t="shared" si="2"/>
        <v>0</v>
      </c>
      <c r="M26" s="29"/>
      <c r="N26" s="169"/>
      <c r="O26" s="91"/>
      <c r="P26" s="27"/>
      <c r="Q26" s="27"/>
      <c r="R26" s="212"/>
      <c r="S26" s="213"/>
      <c r="T26" s="167"/>
      <c r="U26" s="22"/>
    </row>
    <row r="27" spans="1:21" x14ac:dyDescent="0.2">
      <c r="A27" s="9"/>
      <c r="B27" s="25" t="s">
        <v>55</v>
      </c>
      <c r="C27" s="10" t="s">
        <v>68</v>
      </c>
      <c r="D27" s="7">
        <v>372</v>
      </c>
      <c r="E27" s="11">
        <f t="shared" si="0"/>
        <v>186</v>
      </c>
      <c r="F27" s="11">
        <f t="shared" si="1"/>
        <v>12</v>
      </c>
      <c r="G27" s="11">
        <v>5.5</v>
      </c>
      <c r="H27" s="11">
        <v>5</v>
      </c>
      <c r="I27" s="32">
        <v>81.96</v>
      </c>
      <c r="J27" s="32">
        <v>0</v>
      </c>
      <c r="K27" s="32">
        <v>0</v>
      </c>
      <c r="L27" s="29">
        <f t="shared" si="2"/>
        <v>126.54</v>
      </c>
      <c r="M27" s="29">
        <v>127</v>
      </c>
      <c r="N27" s="169"/>
      <c r="O27" s="91"/>
      <c r="P27" s="27"/>
      <c r="Q27" s="27"/>
      <c r="S27" s="22"/>
      <c r="T27" s="27">
        <v>6</v>
      </c>
      <c r="U27" s="22"/>
    </row>
    <row r="28" spans="1:21" x14ac:dyDescent="0.2">
      <c r="A28" s="9"/>
      <c r="B28" s="25" t="s">
        <v>69</v>
      </c>
      <c r="C28" s="10" t="s">
        <v>70</v>
      </c>
      <c r="D28" s="7"/>
      <c r="E28" s="11">
        <f t="shared" si="0"/>
        <v>0</v>
      </c>
      <c r="F28" s="11">
        <f t="shared" si="1"/>
        <v>0</v>
      </c>
      <c r="G28" s="11"/>
      <c r="H28" s="11"/>
      <c r="I28" s="32"/>
      <c r="J28" s="32"/>
      <c r="K28" s="32"/>
      <c r="L28" s="29">
        <f t="shared" si="2"/>
        <v>0</v>
      </c>
      <c r="M28" s="29"/>
      <c r="N28" s="169"/>
      <c r="O28" s="91"/>
      <c r="P28" s="27"/>
      <c r="Q28" s="27"/>
      <c r="S28" s="22"/>
      <c r="T28" s="167">
        <v>4</v>
      </c>
      <c r="U28" s="22"/>
    </row>
    <row r="29" spans="1:21" x14ac:dyDescent="0.2">
      <c r="A29" s="9"/>
      <c r="B29" s="25" t="s">
        <v>71</v>
      </c>
      <c r="C29" s="10" t="s">
        <v>72</v>
      </c>
      <c r="D29" s="7">
        <v>220</v>
      </c>
      <c r="E29" s="11">
        <f t="shared" si="0"/>
        <v>55</v>
      </c>
      <c r="F29" s="11">
        <f t="shared" si="1"/>
        <v>2</v>
      </c>
      <c r="G29" s="11">
        <v>0</v>
      </c>
      <c r="H29" s="11">
        <v>3.5</v>
      </c>
      <c r="I29" s="32">
        <v>16.399999999999999</v>
      </c>
      <c r="J29" s="32">
        <v>58.69</v>
      </c>
      <c r="K29" s="32">
        <v>0</v>
      </c>
      <c r="L29" s="29">
        <f t="shared" si="2"/>
        <v>-14.589999999999996</v>
      </c>
      <c r="M29" s="29">
        <v>-15</v>
      </c>
      <c r="N29" s="169"/>
      <c r="O29" s="91"/>
      <c r="P29" s="27"/>
      <c r="Q29" s="27">
        <v>6</v>
      </c>
      <c r="S29" s="22"/>
      <c r="T29" s="27"/>
      <c r="U29" s="22"/>
    </row>
    <row r="30" spans="1:21" x14ac:dyDescent="0.2">
      <c r="A30" s="9"/>
      <c r="B30" s="25" t="s">
        <v>73</v>
      </c>
      <c r="C30" s="10" t="s">
        <v>74</v>
      </c>
      <c r="D30" s="7"/>
      <c r="E30" s="11">
        <f t="shared" si="0"/>
        <v>0</v>
      </c>
      <c r="F30" s="11">
        <f t="shared" si="1"/>
        <v>0</v>
      </c>
      <c r="G30" s="11"/>
      <c r="H30" s="11"/>
      <c r="I30" s="32"/>
      <c r="J30" s="32"/>
      <c r="K30" s="32"/>
      <c r="L30" s="29">
        <f t="shared" si="2"/>
        <v>0</v>
      </c>
      <c r="M30" s="29"/>
      <c r="N30" s="169"/>
      <c r="O30" s="91"/>
      <c r="P30" s="27"/>
      <c r="Q30" s="27"/>
      <c r="R30" s="18"/>
      <c r="S30" s="3"/>
      <c r="U30" s="22"/>
    </row>
    <row r="31" spans="1:21" x14ac:dyDescent="0.2">
      <c r="A31" s="9"/>
      <c r="B31" s="25" t="s">
        <v>75</v>
      </c>
      <c r="C31" s="10" t="s">
        <v>76</v>
      </c>
      <c r="D31" s="7">
        <v>378</v>
      </c>
      <c r="E31" s="11">
        <f t="shared" si="0"/>
        <v>189</v>
      </c>
      <c r="F31" s="11">
        <f t="shared" si="1"/>
        <v>12</v>
      </c>
      <c r="G31" s="11">
        <v>5.5</v>
      </c>
      <c r="H31" s="11">
        <v>11.25</v>
      </c>
      <c r="I31" s="32">
        <v>148.16999999999999</v>
      </c>
      <c r="J31" s="32">
        <v>72.5</v>
      </c>
      <c r="K31" s="32">
        <v>0</v>
      </c>
      <c r="L31" s="29">
        <f t="shared" si="2"/>
        <v>-2.9199999999999875</v>
      </c>
      <c r="M31" s="29">
        <v>-3</v>
      </c>
      <c r="N31" s="169"/>
      <c r="O31" s="91"/>
      <c r="P31" s="27"/>
      <c r="Q31" s="27"/>
      <c r="U31" s="22"/>
    </row>
    <row r="32" spans="1:21" x14ac:dyDescent="0.2">
      <c r="A32" s="9"/>
      <c r="B32" s="25" t="s">
        <v>77</v>
      </c>
      <c r="C32" s="10" t="s">
        <v>78</v>
      </c>
      <c r="D32" s="7"/>
      <c r="E32" s="11">
        <f t="shared" si="0"/>
        <v>0</v>
      </c>
      <c r="F32" s="11">
        <f t="shared" si="1"/>
        <v>0</v>
      </c>
      <c r="G32" s="11"/>
      <c r="H32" s="11"/>
      <c r="I32" s="32"/>
      <c r="J32" s="32"/>
      <c r="K32" s="32"/>
      <c r="L32" s="29">
        <f t="shared" si="2"/>
        <v>0</v>
      </c>
      <c r="M32" s="29"/>
      <c r="N32" s="169"/>
      <c r="O32" s="91"/>
      <c r="P32" s="27"/>
      <c r="Q32" s="27">
        <v>6</v>
      </c>
      <c r="U32" s="22"/>
    </row>
    <row r="33" spans="1:21" x14ac:dyDescent="0.2">
      <c r="A33" s="9"/>
      <c r="B33" s="25" t="s">
        <v>31</v>
      </c>
      <c r="C33" s="10" t="s">
        <v>79</v>
      </c>
      <c r="D33" s="7"/>
      <c r="E33" s="11">
        <f t="shared" si="0"/>
        <v>0</v>
      </c>
      <c r="F33" s="11">
        <f t="shared" si="1"/>
        <v>0</v>
      </c>
      <c r="G33" s="11"/>
      <c r="H33" s="11"/>
      <c r="I33" s="32"/>
      <c r="J33" s="32"/>
      <c r="K33" s="32"/>
      <c r="L33" s="29">
        <f t="shared" si="2"/>
        <v>0</v>
      </c>
      <c r="M33" s="29"/>
      <c r="N33" s="169"/>
      <c r="O33" s="91"/>
      <c r="P33" s="27"/>
      <c r="Q33" s="27">
        <v>6</v>
      </c>
      <c r="U33" s="22"/>
    </row>
    <row r="34" spans="1:21" x14ac:dyDescent="0.2">
      <c r="A34" s="9"/>
      <c r="B34" s="25" t="s">
        <v>43</v>
      </c>
      <c r="C34" s="10" t="s">
        <v>80</v>
      </c>
      <c r="D34" s="7">
        <v>288</v>
      </c>
      <c r="E34" s="11">
        <f t="shared" si="0"/>
        <v>144</v>
      </c>
      <c r="F34" s="11">
        <f t="shared" si="1"/>
        <v>12</v>
      </c>
      <c r="G34" s="11">
        <v>5.5</v>
      </c>
      <c r="H34" s="11">
        <v>1.5</v>
      </c>
      <c r="I34" s="32">
        <v>201.73</v>
      </c>
      <c r="J34" s="32">
        <v>13.8</v>
      </c>
      <c r="K34" s="32">
        <v>0</v>
      </c>
      <c r="L34" s="29">
        <f t="shared" si="2"/>
        <v>-52.529999999999987</v>
      </c>
      <c r="M34" s="29">
        <v>-53</v>
      </c>
      <c r="N34" s="169"/>
      <c r="O34" s="91"/>
      <c r="P34" s="27"/>
      <c r="Q34" s="27"/>
      <c r="U34" s="22"/>
    </row>
    <row r="35" spans="1:21" x14ac:dyDescent="0.2">
      <c r="A35" s="9"/>
      <c r="B35" s="25" t="s">
        <v>27</v>
      </c>
      <c r="C35" s="10" t="s">
        <v>81</v>
      </c>
      <c r="D35" s="7">
        <v>340</v>
      </c>
      <c r="E35" s="11">
        <f t="shared" si="0"/>
        <v>170</v>
      </c>
      <c r="F35" s="11">
        <f t="shared" si="1"/>
        <v>12</v>
      </c>
      <c r="G35" s="11">
        <v>0</v>
      </c>
      <c r="H35" s="11">
        <v>14</v>
      </c>
      <c r="I35" s="32">
        <v>229.27</v>
      </c>
      <c r="J35" s="32">
        <v>60</v>
      </c>
      <c r="K35" s="32">
        <v>0</v>
      </c>
      <c r="L35" s="29">
        <f t="shared" si="2"/>
        <v>-93.27000000000001</v>
      </c>
      <c r="M35" s="29">
        <v>-93</v>
      </c>
      <c r="N35" s="169"/>
      <c r="O35" s="91"/>
      <c r="P35" s="27"/>
      <c r="Q35" s="27"/>
      <c r="U35" s="22"/>
    </row>
    <row r="36" spans="1:21" x14ac:dyDescent="0.2">
      <c r="A36" s="9"/>
      <c r="B36" s="25" t="s">
        <v>82</v>
      </c>
      <c r="C36" s="10" t="s">
        <v>83</v>
      </c>
      <c r="D36" s="7"/>
      <c r="E36" s="11">
        <f t="shared" si="0"/>
        <v>0</v>
      </c>
      <c r="F36" s="11">
        <f t="shared" si="1"/>
        <v>0</v>
      </c>
      <c r="G36" s="11"/>
      <c r="H36" s="11"/>
      <c r="I36" s="32"/>
      <c r="J36" s="32"/>
      <c r="K36" s="32"/>
      <c r="L36" s="29">
        <f t="shared" si="2"/>
        <v>0</v>
      </c>
      <c r="M36" s="29"/>
      <c r="N36" s="169"/>
      <c r="O36" s="91"/>
      <c r="P36" s="27"/>
      <c r="Q36" s="27"/>
      <c r="U36" s="22"/>
    </row>
    <row r="37" spans="1:21" x14ac:dyDescent="0.2">
      <c r="A37" s="9"/>
      <c r="B37" s="25" t="s">
        <v>84</v>
      </c>
      <c r="C37" s="10" t="s">
        <v>85</v>
      </c>
      <c r="D37" s="7"/>
      <c r="E37" s="11">
        <f t="shared" si="0"/>
        <v>0</v>
      </c>
      <c r="F37" s="11">
        <f t="shared" si="1"/>
        <v>0</v>
      </c>
      <c r="G37" s="11"/>
      <c r="H37" s="11"/>
      <c r="I37" s="32"/>
      <c r="J37" s="32"/>
      <c r="K37" s="32"/>
      <c r="L37" s="29">
        <f t="shared" si="2"/>
        <v>0</v>
      </c>
      <c r="M37" s="29"/>
      <c r="N37" s="169"/>
      <c r="O37" s="91"/>
      <c r="P37" s="27" t="s">
        <v>59</v>
      </c>
      <c r="Q37" s="27"/>
      <c r="U37" s="22"/>
    </row>
    <row r="38" spans="1:21" x14ac:dyDescent="0.2">
      <c r="A38" s="9"/>
      <c r="B38" s="25" t="s">
        <v>86</v>
      </c>
      <c r="C38" s="10" t="s">
        <v>87</v>
      </c>
      <c r="D38" s="8"/>
      <c r="E38" s="11">
        <f t="shared" si="0"/>
        <v>0</v>
      </c>
      <c r="F38" s="11">
        <f t="shared" si="1"/>
        <v>0</v>
      </c>
      <c r="G38" s="11"/>
      <c r="H38" s="11"/>
      <c r="I38" s="33"/>
      <c r="J38" s="33"/>
      <c r="K38" s="33"/>
      <c r="L38" s="29">
        <f t="shared" si="2"/>
        <v>0</v>
      </c>
      <c r="M38" s="29"/>
      <c r="N38" s="171"/>
      <c r="O38" s="25"/>
      <c r="P38" s="27"/>
      <c r="Q38" s="27">
        <v>6</v>
      </c>
      <c r="U38" s="22"/>
    </row>
    <row r="39" spans="1:21" x14ac:dyDescent="0.2">
      <c r="A39" s="9"/>
      <c r="B39" s="25" t="s">
        <v>55</v>
      </c>
      <c r="C39" s="10" t="s">
        <v>88</v>
      </c>
      <c r="D39" s="7">
        <v>361</v>
      </c>
      <c r="E39" s="11">
        <f t="shared" si="0"/>
        <v>180.5</v>
      </c>
      <c r="F39" s="11">
        <f t="shared" si="1"/>
        <v>12</v>
      </c>
      <c r="G39" s="11">
        <v>2.75</v>
      </c>
      <c r="H39" s="11">
        <v>7.75</v>
      </c>
      <c r="I39" s="32">
        <v>80.959999999999994</v>
      </c>
      <c r="J39" s="32">
        <v>150.75</v>
      </c>
      <c r="K39" s="32">
        <v>0</v>
      </c>
      <c r="L39" s="29">
        <f t="shared" si="2"/>
        <v>-28.709999999999994</v>
      </c>
      <c r="M39" s="29">
        <v>-29</v>
      </c>
      <c r="N39" s="169"/>
      <c r="O39" s="91"/>
      <c r="P39" s="27"/>
      <c r="Q39" s="27">
        <v>6</v>
      </c>
      <c r="U39" s="22"/>
    </row>
    <row r="40" spans="1:21" x14ac:dyDescent="0.2">
      <c r="A40" s="9"/>
      <c r="B40" s="25" t="s">
        <v>89</v>
      </c>
      <c r="C40" s="10" t="s">
        <v>90</v>
      </c>
      <c r="D40" s="7">
        <v>181</v>
      </c>
      <c r="E40" s="11">
        <f t="shared" si="0"/>
        <v>90.5</v>
      </c>
      <c r="F40" s="11">
        <f t="shared" si="1"/>
        <v>12</v>
      </c>
      <c r="G40" s="11">
        <v>2.75</v>
      </c>
      <c r="H40" s="11">
        <v>0.75</v>
      </c>
      <c r="I40" s="32">
        <v>84.01</v>
      </c>
      <c r="J40" s="32">
        <v>8.0500000000000007</v>
      </c>
      <c r="K40" s="32">
        <v>0</v>
      </c>
      <c r="L40" s="29">
        <f t="shared" si="2"/>
        <v>13.939999999999994</v>
      </c>
      <c r="M40" s="29">
        <v>14</v>
      </c>
      <c r="N40" s="169"/>
      <c r="O40" s="91"/>
      <c r="P40" s="27"/>
      <c r="Q40" s="27"/>
      <c r="U40" s="22"/>
    </row>
    <row r="41" spans="1:21" x14ac:dyDescent="0.2">
      <c r="A41" s="9"/>
      <c r="B41" s="25" t="s">
        <v>91</v>
      </c>
      <c r="C41" s="10" t="s">
        <v>92</v>
      </c>
      <c r="D41" s="7"/>
      <c r="E41" s="11">
        <f t="shared" si="0"/>
        <v>0</v>
      </c>
      <c r="F41" s="11">
        <f t="shared" si="1"/>
        <v>0</v>
      </c>
      <c r="G41" s="11"/>
      <c r="H41" s="11"/>
      <c r="I41" s="32"/>
      <c r="J41" s="32"/>
      <c r="K41" s="32"/>
      <c r="L41" s="29">
        <f t="shared" si="2"/>
        <v>0</v>
      </c>
      <c r="M41" s="29"/>
      <c r="N41" s="169"/>
      <c r="O41" s="91"/>
      <c r="P41" s="27"/>
      <c r="Q41" s="27"/>
      <c r="U41" s="22"/>
    </row>
    <row r="42" spans="1:21" x14ac:dyDescent="0.2">
      <c r="A42" s="102"/>
      <c r="B42" s="25" t="s">
        <v>93</v>
      </c>
      <c r="C42" s="10" t="s">
        <v>94</v>
      </c>
      <c r="D42" s="7"/>
      <c r="E42" s="11">
        <f t="shared" si="0"/>
        <v>0</v>
      </c>
      <c r="F42" s="11">
        <f t="shared" si="1"/>
        <v>0</v>
      </c>
      <c r="G42" s="11"/>
      <c r="H42" s="11"/>
      <c r="I42" s="32"/>
      <c r="J42" s="32"/>
      <c r="K42" s="32"/>
      <c r="L42" s="29">
        <f t="shared" si="2"/>
        <v>0</v>
      </c>
      <c r="M42" s="29"/>
      <c r="N42" s="169"/>
      <c r="O42" s="91"/>
      <c r="P42" s="27"/>
      <c r="Q42" s="27"/>
      <c r="U42" s="22"/>
    </row>
    <row r="43" spans="1:21" x14ac:dyDescent="0.2">
      <c r="A43" s="9"/>
      <c r="B43" s="25" t="s">
        <v>49</v>
      </c>
      <c r="C43" s="10" t="s">
        <v>95</v>
      </c>
      <c r="D43" s="7">
        <v>312</v>
      </c>
      <c r="E43" s="11">
        <f t="shared" si="0"/>
        <v>156</v>
      </c>
      <c r="F43" s="11">
        <f t="shared" si="1"/>
        <v>12</v>
      </c>
      <c r="G43" s="11">
        <v>5.5</v>
      </c>
      <c r="H43" s="11">
        <v>4.25</v>
      </c>
      <c r="I43" s="32">
        <v>236.63</v>
      </c>
      <c r="J43" s="32">
        <v>0</v>
      </c>
      <c r="K43" s="32">
        <v>0</v>
      </c>
      <c r="L43" s="29">
        <f t="shared" si="2"/>
        <v>-58.879999999999995</v>
      </c>
      <c r="M43" s="29">
        <v>-59</v>
      </c>
      <c r="N43" s="169"/>
      <c r="O43" s="91"/>
      <c r="P43" s="27"/>
      <c r="Q43" s="27"/>
      <c r="U43" s="22"/>
    </row>
    <row r="44" spans="1:21" x14ac:dyDescent="0.2">
      <c r="A44" s="9"/>
      <c r="B44" s="25" t="s">
        <v>43</v>
      </c>
      <c r="C44" s="10" t="s">
        <v>96</v>
      </c>
      <c r="D44" s="7">
        <v>349</v>
      </c>
      <c r="E44" s="11">
        <f t="shared" si="0"/>
        <v>174.5</v>
      </c>
      <c r="F44" s="11">
        <f t="shared" si="1"/>
        <v>12</v>
      </c>
      <c r="G44" s="11">
        <v>2.75</v>
      </c>
      <c r="H44" s="11">
        <v>14</v>
      </c>
      <c r="I44" s="32">
        <v>228.21</v>
      </c>
      <c r="J44" s="32">
        <v>86.5</v>
      </c>
      <c r="K44" s="32">
        <v>0</v>
      </c>
      <c r="L44" s="29">
        <f t="shared" si="2"/>
        <v>-111.46000000000001</v>
      </c>
      <c r="M44" s="29">
        <v>-111</v>
      </c>
      <c r="N44" s="169"/>
      <c r="O44" s="91"/>
      <c r="P44" s="27"/>
      <c r="Q44" s="27"/>
      <c r="U44" s="22"/>
    </row>
    <row r="45" spans="1:21" x14ac:dyDescent="0.2">
      <c r="A45" s="9"/>
      <c r="B45" s="25" t="s">
        <v>97</v>
      </c>
      <c r="C45" s="10" t="s">
        <v>98</v>
      </c>
      <c r="D45" s="7">
        <v>255</v>
      </c>
      <c r="E45" s="11">
        <f t="shared" si="0"/>
        <v>127.5</v>
      </c>
      <c r="F45" s="11">
        <f t="shared" si="1"/>
        <v>12</v>
      </c>
      <c r="G45" s="11">
        <v>0</v>
      </c>
      <c r="H45" s="11">
        <v>7</v>
      </c>
      <c r="I45" s="32">
        <v>0</v>
      </c>
      <c r="J45" s="32">
        <v>0</v>
      </c>
      <c r="K45" s="32">
        <v>0</v>
      </c>
      <c r="L45" s="29">
        <f t="shared" si="2"/>
        <v>146.5</v>
      </c>
      <c r="M45" s="29">
        <v>147</v>
      </c>
      <c r="N45" s="169"/>
      <c r="O45" s="91"/>
      <c r="P45" s="27"/>
      <c r="Q45" s="27">
        <v>6</v>
      </c>
      <c r="U45" s="22"/>
    </row>
    <row r="46" spans="1:21" x14ac:dyDescent="0.2">
      <c r="A46" s="9"/>
      <c r="B46" s="25" t="s">
        <v>99</v>
      </c>
      <c r="C46" s="10" t="s">
        <v>100</v>
      </c>
      <c r="D46" s="7"/>
      <c r="E46" s="11">
        <f t="shared" si="0"/>
        <v>0</v>
      </c>
      <c r="F46" s="11">
        <f t="shared" si="1"/>
        <v>0</v>
      </c>
      <c r="G46" s="11"/>
      <c r="H46" s="11"/>
      <c r="I46" s="32"/>
      <c r="J46" s="32"/>
      <c r="K46" s="32"/>
      <c r="L46" s="29">
        <f t="shared" si="2"/>
        <v>0</v>
      </c>
      <c r="M46" s="29"/>
      <c r="N46" s="169"/>
      <c r="O46" s="91"/>
      <c r="P46" s="27"/>
      <c r="Q46" s="27"/>
      <c r="U46" s="22"/>
    </row>
    <row r="47" spans="1:21" x14ac:dyDescent="0.2">
      <c r="A47" s="9"/>
      <c r="B47" s="25"/>
      <c r="C47" s="10"/>
      <c r="D47" s="7"/>
      <c r="E47" s="11">
        <f t="shared" si="0"/>
        <v>0</v>
      </c>
      <c r="F47" s="11">
        <f t="shared" si="1"/>
        <v>0</v>
      </c>
      <c r="G47" s="11"/>
      <c r="H47" s="11"/>
      <c r="I47" s="32"/>
      <c r="J47" s="32"/>
      <c r="K47" s="32"/>
      <c r="L47" s="29">
        <f t="shared" si="2"/>
        <v>0</v>
      </c>
      <c r="M47" s="29"/>
      <c r="N47" s="169"/>
      <c r="O47" s="91"/>
      <c r="P47" s="27"/>
      <c r="Q47" s="27">
        <v>6</v>
      </c>
      <c r="U47" s="22"/>
    </row>
    <row r="48" spans="1:21" x14ac:dyDescent="0.2">
      <c r="D48" s="3">
        <f t="shared" ref="D48:N48" si="3">SUM(D4:D47)</f>
        <v>8099.25</v>
      </c>
      <c r="E48" s="21">
        <f t="shared" si="3"/>
        <v>3662.125</v>
      </c>
      <c r="F48" s="3">
        <f t="shared" si="3"/>
        <v>254</v>
      </c>
      <c r="G48" s="3">
        <f t="shared" si="3"/>
        <v>57.75</v>
      </c>
      <c r="H48" s="3">
        <f t="shared" si="3"/>
        <v>148.5</v>
      </c>
      <c r="I48" s="3">
        <f t="shared" si="3"/>
        <v>2719.2800000000007</v>
      </c>
      <c r="J48" s="3">
        <f t="shared" si="3"/>
        <v>1962.12</v>
      </c>
      <c r="K48" s="3">
        <f t="shared" si="3"/>
        <v>0</v>
      </c>
      <c r="L48" s="3">
        <f t="shared" si="3"/>
        <v>-559.02499999999998</v>
      </c>
      <c r="M48" s="3">
        <f t="shared" si="3"/>
        <v>-559</v>
      </c>
      <c r="N48" s="3">
        <f t="shared" si="3"/>
        <v>-73</v>
      </c>
      <c r="O48" s="174"/>
    </row>
    <row r="49" spans="5:5" x14ac:dyDescent="0.2">
      <c r="E49" s="2"/>
    </row>
    <row r="50" spans="5:5" x14ac:dyDescent="0.2">
      <c r="E50" s="2"/>
    </row>
    <row r="51" spans="5:5" x14ac:dyDescent="0.2">
      <c r="E51" s="2"/>
    </row>
    <row r="52" spans="5:5" x14ac:dyDescent="0.2">
      <c r="E52" s="2"/>
    </row>
    <row r="53" spans="5:5" x14ac:dyDescent="0.2">
      <c r="E53" s="2"/>
    </row>
  </sheetData>
  <mergeCells count="1">
    <mergeCell ref="R26:S26"/>
  </mergeCells>
  <conditionalFormatting sqref="C4:C12 C14:C47">
    <cfRule type="expression" dxfId="38" priority="2">
      <formula>$M4&lt;0</formula>
    </cfRule>
  </conditionalFormatting>
  <conditionalFormatting sqref="C13">
    <cfRule type="expression" dxfId="37" priority="1">
      <formula>$M$13&lt;0</formula>
    </cfRule>
  </conditionalFormatting>
  <conditionalFormatting sqref="M4:M47">
    <cfRule type="cellIs" dxfId="36" priority="7" operator="lessThan">
      <formula>0</formula>
    </cfRule>
  </conditionalFormatting>
  <pageMargins left="0.7" right="0.7" top="0.75" bottom="0.75" header="0.3" footer="0.3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V48"/>
  <sheetViews>
    <sheetView showGridLines="0" topLeftCell="A16" workbookViewId="0">
      <selection activeCell="M30" sqref="M30"/>
    </sheetView>
  </sheetViews>
  <sheetFormatPr baseColWidth="10" defaultColWidth="8.83203125" defaultRowHeight="15" x14ac:dyDescent="0.2"/>
  <cols>
    <col min="1" max="1" width="6.5" style="1" customWidth="1"/>
    <col min="2" max="2" width="12.1640625" style="26" customWidth="1"/>
    <col min="3" max="3" width="18.1640625" style="1" bestFit="1" customWidth="1"/>
    <col min="4" max="13" width="12.1640625" customWidth="1"/>
    <col min="14" max="14" width="13.1640625" customWidth="1"/>
    <col min="15" max="15" width="14.6640625" customWidth="1"/>
    <col min="16" max="16" width="6" style="168" customWidth="1"/>
    <col min="17" max="17" width="6" style="1" customWidth="1"/>
    <col min="18" max="18" width="12.5" bestFit="1" customWidth="1"/>
    <col min="19" max="19" width="10.5" customWidth="1"/>
  </cols>
  <sheetData>
    <row r="1" spans="1:22" x14ac:dyDescent="0.2">
      <c r="A1" s="4" t="s">
        <v>0</v>
      </c>
      <c r="B1" s="108">
        <f>'Mon AM'!B1+3</f>
        <v>46121</v>
      </c>
      <c r="C1" s="208"/>
      <c r="D1" s="4" t="s">
        <v>1</v>
      </c>
      <c r="E1" s="6" t="s">
        <v>112</v>
      </c>
    </row>
    <row r="3" spans="1:22" x14ac:dyDescent="0.2">
      <c r="A3" s="4"/>
      <c r="B3" s="23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101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28" t="s">
        <v>16</v>
      </c>
    </row>
    <row r="4" spans="1:22" x14ac:dyDescent="0.2">
      <c r="A4" s="10"/>
      <c r="B4" s="24" t="s">
        <v>113</v>
      </c>
      <c r="C4" s="10" t="s">
        <v>114</v>
      </c>
      <c r="D4" s="11"/>
      <c r="E4" s="11">
        <f t="shared" ref="E4:E47" si="0">IF(AND(VALUE(B4)&lt;100, D4&gt;0),D4*0.5,D4*0.25)</f>
        <v>0</v>
      </c>
      <c r="F4" s="11">
        <f t="shared" ref="F4:F47" si="1">IF(P4="C",Q4,IF(AND(VALUE(B4)&lt;100, D4&gt;0),12,IF(D4&gt;0,2,0)))</f>
        <v>0</v>
      </c>
      <c r="G4" s="11"/>
      <c r="H4" s="11"/>
      <c r="I4" s="31"/>
      <c r="J4" s="31"/>
      <c r="K4" s="31"/>
      <c r="L4" s="29">
        <f t="shared" ref="L4:L47" si="2">(E4+F4+G4+H4)-I4-J4-K4</f>
        <v>0</v>
      </c>
      <c r="M4" s="29"/>
      <c r="N4" s="169"/>
      <c r="O4" s="172"/>
      <c r="P4" s="168" t="s">
        <v>59</v>
      </c>
      <c r="Q4" s="27">
        <v>0</v>
      </c>
      <c r="R4" s="15" t="s">
        <v>19</v>
      </c>
      <c r="S4" s="12">
        <f>D48</f>
        <v>2955</v>
      </c>
      <c r="U4" s="1"/>
      <c r="V4" s="1"/>
    </row>
    <row r="5" spans="1:22" x14ac:dyDescent="0.2">
      <c r="A5" s="9"/>
      <c r="B5" s="25" t="s">
        <v>117</v>
      </c>
      <c r="C5" s="10" t="s">
        <v>118</v>
      </c>
      <c r="D5" s="7"/>
      <c r="E5" s="11">
        <f t="shared" si="0"/>
        <v>0</v>
      </c>
      <c r="F5" s="11">
        <f t="shared" si="1"/>
        <v>0</v>
      </c>
      <c r="G5" s="11"/>
      <c r="H5" s="11"/>
      <c r="I5" s="32"/>
      <c r="J5" s="32"/>
      <c r="K5" s="32"/>
      <c r="L5" s="29">
        <f t="shared" si="2"/>
        <v>0</v>
      </c>
      <c r="M5" s="29"/>
      <c r="N5" s="169"/>
      <c r="O5" s="91"/>
      <c r="Q5" s="27">
        <v>6</v>
      </c>
      <c r="R5" s="16" t="s">
        <v>22</v>
      </c>
      <c r="S5" s="13">
        <f>E48</f>
        <v>1343.75</v>
      </c>
      <c r="U5" s="1"/>
      <c r="V5" s="1"/>
    </row>
    <row r="6" spans="1:22" x14ac:dyDescent="0.2">
      <c r="A6" s="9"/>
      <c r="B6" s="25" t="s">
        <v>47</v>
      </c>
      <c r="C6" s="10" t="s">
        <v>119</v>
      </c>
      <c r="D6" s="7">
        <v>284</v>
      </c>
      <c r="E6" s="11">
        <f t="shared" si="0"/>
        <v>142</v>
      </c>
      <c r="F6" s="11">
        <f t="shared" si="1"/>
        <v>12</v>
      </c>
      <c r="G6" s="11">
        <v>0</v>
      </c>
      <c r="H6" s="11">
        <v>7</v>
      </c>
      <c r="I6" s="32">
        <v>167</v>
      </c>
      <c r="J6" s="32">
        <v>0</v>
      </c>
      <c r="K6" s="32">
        <v>0</v>
      </c>
      <c r="L6" s="29">
        <f t="shared" si="2"/>
        <v>-6</v>
      </c>
      <c r="M6" s="29">
        <v>-6</v>
      </c>
      <c r="N6" s="169"/>
      <c r="O6" s="91"/>
      <c r="Q6" s="27">
        <v>0</v>
      </c>
      <c r="R6" s="16" t="s">
        <v>7</v>
      </c>
      <c r="S6" s="13">
        <f>F48</f>
        <v>110</v>
      </c>
    </row>
    <row r="7" spans="1:22" x14ac:dyDescent="0.2">
      <c r="A7" s="9"/>
      <c r="B7" s="25" t="s">
        <v>17</v>
      </c>
      <c r="C7" s="10" t="s">
        <v>173</v>
      </c>
      <c r="D7" s="7"/>
      <c r="E7" s="11">
        <f t="shared" si="0"/>
        <v>0</v>
      </c>
      <c r="F7" s="11">
        <f t="shared" si="1"/>
        <v>0</v>
      </c>
      <c r="G7" s="11"/>
      <c r="H7" s="11"/>
      <c r="I7" s="32"/>
      <c r="J7" s="32"/>
      <c r="K7" s="32"/>
      <c r="L7" s="29">
        <f t="shared" si="2"/>
        <v>0</v>
      </c>
      <c r="M7" s="29"/>
      <c r="N7" s="169"/>
      <c r="O7" s="91"/>
      <c r="Q7" s="27">
        <v>6</v>
      </c>
      <c r="R7" s="16" t="s">
        <v>8</v>
      </c>
      <c r="S7" s="13">
        <f>G48</f>
        <v>19.25</v>
      </c>
    </row>
    <row r="8" spans="1:22" x14ac:dyDescent="0.2">
      <c r="A8" s="9"/>
      <c r="B8" s="25" t="s">
        <v>120</v>
      </c>
      <c r="C8" s="10" t="s">
        <v>121</v>
      </c>
      <c r="D8" s="7">
        <v>44</v>
      </c>
      <c r="E8" s="11">
        <f t="shared" si="0"/>
        <v>11</v>
      </c>
      <c r="F8" s="11">
        <f t="shared" si="1"/>
        <v>2</v>
      </c>
      <c r="G8" s="11">
        <v>0</v>
      </c>
      <c r="H8" s="11">
        <v>0</v>
      </c>
      <c r="I8" s="32">
        <v>13</v>
      </c>
      <c r="J8" s="32">
        <v>0</v>
      </c>
      <c r="K8" s="32">
        <v>0</v>
      </c>
      <c r="L8" s="29">
        <f t="shared" si="2"/>
        <v>0</v>
      </c>
      <c r="M8" s="29">
        <v>0</v>
      </c>
      <c r="N8" s="169"/>
      <c r="O8" s="91"/>
      <c r="Q8" s="27">
        <v>0</v>
      </c>
      <c r="R8" s="16" t="s">
        <v>9</v>
      </c>
      <c r="S8" s="13">
        <f>H48</f>
        <v>41.5</v>
      </c>
    </row>
    <row r="9" spans="1:22" x14ac:dyDescent="0.2">
      <c r="A9" s="9"/>
      <c r="B9" s="25" t="s">
        <v>111</v>
      </c>
      <c r="C9" s="10" t="s">
        <v>122</v>
      </c>
      <c r="D9" s="7">
        <v>189</v>
      </c>
      <c r="E9" s="11">
        <f t="shared" si="0"/>
        <v>94.5</v>
      </c>
      <c r="F9" s="11">
        <f t="shared" si="1"/>
        <v>6</v>
      </c>
      <c r="G9" s="11">
        <v>2.75</v>
      </c>
      <c r="H9" s="11">
        <v>3.5</v>
      </c>
      <c r="I9" s="32">
        <v>113.67</v>
      </c>
      <c r="J9" s="32">
        <v>0</v>
      </c>
      <c r="K9" s="32">
        <v>0</v>
      </c>
      <c r="L9" s="29">
        <f t="shared" si="2"/>
        <v>-6.9200000000000017</v>
      </c>
      <c r="M9" s="29">
        <v>-7</v>
      </c>
      <c r="N9" s="169">
        <v>-7</v>
      </c>
      <c r="O9" s="91" t="s">
        <v>174</v>
      </c>
      <c r="P9" s="168" t="s">
        <v>59</v>
      </c>
      <c r="Q9" s="27">
        <v>6</v>
      </c>
      <c r="R9" s="16" t="s">
        <v>10</v>
      </c>
      <c r="S9" s="13">
        <f>I48</f>
        <v>1030.44</v>
      </c>
    </row>
    <row r="10" spans="1:22" x14ac:dyDescent="0.2">
      <c r="A10" s="9"/>
      <c r="B10" s="25" t="s">
        <v>52</v>
      </c>
      <c r="C10" s="10" t="s">
        <v>123</v>
      </c>
      <c r="D10" s="7"/>
      <c r="E10" s="11">
        <f t="shared" si="0"/>
        <v>0</v>
      </c>
      <c r="F10" s="11">
        <f t="shared" si="1"/>
        <v>0</v>
      </c>
      <c r="G10" s="11"/>
      <c r="H10" s="11"/>
      <c r="I10" s="32"/>
      <c r="J10" s="32"/>
      <c r="K10" s="32"/>
      <c r="L10" s="29">
        <f t="shared" si="2"/>
        <v>0</v>
      </c>
      <c r="M10" s="29"/>
      <c r="N10" s="169"/>
      <c r="O10" s="91"/>
      <c r="Q10" s="27">
        <v>6</v>
      </c>
      <c r="R10" s="16" t="s">
        <v>11</v>
      </c>
      <c r="S10" s="13">
        <f>J48</f>
        <v>366.07</v>
      </c>
    </row>
    <row r="11" spans="1:22" x14ac:dyDescent="0.2">
      <c r="A11" s="9"/>
      <c r="B11" s="25" t="s">
        <v>97</v>
      </c>
      <c r="C11" s="10" t="s">
        <v>124</v>
      </c>
      <c r="D11" s="7">
        <v>180</v>
      </c>
      <c r="E11" s="11">
        <f t="shared" si="0"/>
        <v>90</v>
      </c>
      <c r="F11" s="11">
        <f t="shared" si="1"/>
        <v>12</v>
      </c>
      <c r="G11" s="11">
        <v>0</v>
      </c>
      <c r="H11" s="11">
        <v>0</v>
      </c>
      <c r="I11" s="32">
        <v>7</v>
      </c>
      <c r="J11" s="32">
        <v>0</v>
      </c>
      <c r="K11" s="32">
        <v>0</v>
      </c>
      <c r="L11" s="29">
        <f t="shared" si="2"/>
        <v>95</v>
      </c>
      <c r="M11" s="29">
        <v>0</v>
      </c>
      <c r="N11" s="169">
        <v>95</v>
      </c>
      <c r="O11" s="91"/>
      <c r="Q11" s="27">
        <v>6</v>
      </c>
      <c r="R11" s="16" t="s">
        <v>12</v>
      </c>
      <c r="S11" s="13">
        <f>K48</f>
        <v>0</v>
      </c>
    </row>
    <row r="12" spans="1:22" x14ac:dyDescent="0.2">
      <c r="A12" s="102"/>
      <c r="B12" s="25" t="s">
        <v>97</v>
      </c>
      <c r="C12" s="10" t="s">
        <v>125</v>
      </c>
      <c r="D12" s="7">
        <v>180</v>
      </c>
      <c r="E12" s="11">
        <f t="shared" si="0"/>
        <v>90</v>
      </c>
      <c r="F12" s="11">
        <f t="shared" si="1"/>
        <v>12</v>
      </c>
      <c r="G12" s="11">
        <v>2.75</v>
      </c>
      <c r="H12" s="11">
        <v>0</v>
      </c>
      <c r="I12" s="32">
        <v>9</v>
      </c>
      <c r="J12" s="32">
        <v>9.1999999999999993</v>
      </c>
      <c r="K12" s="32">
        <v>0</v>
      </c>
      <c r="L12" s="29">
        <f t="shared" si="2"/>
        <v>86.55</v>
      </c>
      <c r="M12" s="29">
        <v>87</v>
      </c>
      <c r="N12" s="170"/>
      <c r="O12" s="173"/>
      <c r="Q12" s="27"/>
      <c r="R12" s="17" t="s">
        <v>37</v>
      </c>
      <c r="S12" s="14">
        <f>N48</f>
        <v>92</v>
      </c>
    </row>
    <row r="13" spans="1:22" x14ac:dyDescent="0.2">
      <c r="A13" s="102"/>
      <c r="B13" s="25" t="s">
        <v>111</v>
      </c>
      <c r="C13" s="10" t="s">
        <v>126</v>
      </c>
      <c r="D13" s="7">
        <v>271</v>
      </c>
      <c r="E13" s="11">
        <f t="shared" si="0"/>
        <v>135.5</v>
      </c>
      <c r="F13" s="11">
        <f t="shared" si="1"/>
        <v>12</v>
      </c>
      <c r="G13" s="11">
        <v>5.5</v>
      </c>
      <c r="H13" s="11">
        <v>0.75</v>
      </c>
      <c r="I13" s="32">
        <v>80.209999999999994</v>
      </c>
      <c r="J13" s="32">
        <v>83.92</v>
      </c>
      <c r="K13" s="32">
        <v>0</v>
      </c>
      <c r="L13" s="29">
        <f t="shared" si="2"/>
        <v>-10.379999999999995</v>
      </c>
      <c r="M13" s="29">
        <v>-10</v>
      </c>
      <c r="N13" s="169"/>
      <c r="O13" s="91"/>
      <c r="Q13" s="27">
        <v>0</v>
      </c>
      <c r="R13" s="18"/>
      <c r="S13" s="30">
        <f>S5+S6+S7-S9-S10-S11-S12</f>
        <v>-15.510000000000048</v>
      </c>
      <c r="T13" s="22"/>
    </row>
    <row r="14" spans="1:22" x14ac:dyDescent="0.2">
      <c r="A14" s="9"/>
      <c r="B14" s="25" t="s">
        <v>104</v>
      </c>
      <c r="C14" s="10" t="s">
        <v>175</v>
      </c>
      <c r="D14" s="7"/>
      <c r="E14" s="11">
        <f t="shared" si="0"/>
        <v>0</v>
      </c>
      <c r="F14" s="11">
        <f t="shared" si="1"/>
        <v>0</v>
      </c>
      <c r="G14" s="11"/>
      <c r="H14" s="11"/>
      <c r="I14" s="32"/>
      <c r="J14" s="32"/>
      <c r="K14" s="32"/>
      <c r="L14" s="29">
        <f t="shared" si="2"/>
        <v>0</v>
      </c>
      <c r="M14" s="29"/>
      <c r="N14" s="169"/>
      <c r="O14" s="91"/>
      <c r="Q14" s="27">
        <v>6</v>
      </c>
      <c r="R14" s="19" t="s">
        <v>42</v>
      </c>
      <c r="S14" s="20">
        <f>M48</f>
        <v>20</v>
      </c>
    </row>
    <row r="15" spans="1:22" x14ac:dyDescent="0.2">
      <c r="A15" s="9"/>
      <c r="B15" s="25" t="s">
        <v>47</v>
      </c>
      <c r="C15" s="10" t="s">
        <v>50</v>
      </c>
      <c r="D15" s="7"/>
      <c r="E15" s="11">
        <f t="shared" si="0"/>
        <v>0</v>
      </c>
      <c r="F15" s="11">
        <f t="shared" si="1"/>
        <v>0</v>
      </c>
      <c r="G15" s="11"/>
      <c r="H15" s="11"/>
      <c r="I15" s="32"/>
      <c r="J15" s="32"/>
      <c r="K15" s="32"/>
      <c r="L15" s="29">
        <f t="shared" si="2"/>
        <v>0</v>
      </c>
      <c r="M15" s="29"/>
      <c r="N15" s="169"/>
      <c r="O15" s="91"/>
      <c r="Q15" s="27"/>
    </row>
    <row r="16" spans="1:22" x14ac:dyDescent="0.2">
      <c r="A16" s="9"/>
      <c r="B16" s="25" t="s">
        <v>97</v>
      </c>
      <c r="C16" s="10" t="s">
        <v>129</v>
      </c>
      <c r="D16" s="7"/>
      <c r="E16" s="11">
        <f t="shared" si="0"/>
        <v>0</v>
      </c>
      <c r="F16" s="11">
        <f t="shared" si="1"/>
        <v>0</v>
      </c>
      <c r="G16" s="11"/>
      <c r="H16" s="11"/>
      <c r="I16" s="32"/>
      <c r="J16" s="32"/>
      <c r="K16" s="32"/>
      <c r="L16" s="29">
        <f t="shared" si="2"/>
        <v>0</v>
      </c>
      <c r="M16" s="29"/>
      <c r="N16" s="169"/>
      <c r="O16" s="91"/>
      <c r="Q16" s="27">
        <v>6</v>
      </c>
      <c r="R16" s="35"/>
      <c r="S16" s="35"/>
      <c r="T16" s="35"/>
      <c r="U16" s="35"/>
    </row>
    <row r="17" spans="1:21" x14ac:dyDescent="0.2">
      <c r="A17" s="9"/>
      <c r="B17" s="25" t="s">
        <v>31</v>
      </c>
      <c r="C17" s="10" t="s">
        <v>130</v>
      </c>
      <c r="D17" s="7"/>
      <c r="E17" s="11">
        <f t="shared" si="0"/>
        <v>0</v>
      </c>
      <c r="F17" s="11">
        <f t="shared" si="1"/>
        <v>0</v>
      </c>
      <c r="G17" s="11"/>
      <c r="H17" s="11"/>
      <c r="I17" s="32"/>
      <c r="J17" s="32"/>
      <c r="K17" s="32"/>
      <c r="L17" s="29">
        <f t="shared" si="2"/>
        <v>0</v>
      </c>
      <c r="M17" s="29"/>
      <c r="N17" s="169"/>
      <c r="O17" s="91"/>
      <c r="Q17" s="27">
        <v>6</v>
      </c>
      <c r="R17" s="35"/>
      <c r="S17" s="35"/>
      <c r="T17" s="35"/>
      <c r="U17" s="35"/>
    </row>
    <row r="18" spans="1:21" x14ac:dyDescent="0.2">
      <c r="A18" s="9"/>
      <c r="B18" s="25" t="s">
        <v>65</v>
      </c>
      <c r="C18" s="10" t="s">
        <v>132</v>
      </c>
      <c r="D18" s="7"/>
      <c r="E18" s="11">
        <f t="shared" si="0"/>
        <v>0</v>
      </c>
      <c r="F18" s="11">
        <f t="shared" si="1"/>
        <v>0</v>
      </c>
      <c r="G18" s="11"/>
      <c r="H18" s="11"/>
      <c r="I18" s="32"/>
      <c r="J18" s="32"/>
      <c r="K18" s="32"/>
      <c r="L18" s="29">
        <f t="shared" si="2"/>
        <v>0</v>
      </c>
      <c r="M18" s="29"/>
      <c r="N18" s="169"/>
      <c r="O18" s="91"/>
      <c r="Q18" s="27"/>
      <c r="R18" s="15" t="s">
        <v>51</v>
      </c>
      <c r="S18" s="95">
        <f t="array" ref="S18">SUMPRODUCT((VALUE(B4:B47)&lt;100)*(D4:D47&gt;0))</f>
        <v>9</v>
      </c>
      <c r="T18" s="35"/>
      <c r="U18" s="35"/>
    </row>
    <row r="19" spans="1:21" x14ac:dyDescent="0.2">
      <c r="A19" s="9"/>
      <c r="B19" s="25" t="s">
        <v>89</v>
      </c>
      <c r="C19" s="10" t="s">
        <v>133</v>
      </c>
      <c r="D19" s="7"/>
      <c r="E19" s="11">
        <f t="shared" si="0"/>
        <v>0</v>
      </c>
      <c r="F19" s="11">
        <f t="shared" si="1"/>
        <v>0</v>
      </c>
      <c r="G19" s="11"/>
      <c r="H19" s="11"/>
      <c r="I19" s="32"/>
      <c r="J19" s="32"/>
      <c r="K19" s="32"/>
      <c r="L19" s="29">
        <f t="shared" si="2"/>
        <v>0</v>
      </c>
      <c r="M19" s="29"/>
      <c r="N19" s="169"/>
      <c r="O19" s="91"/>
      <c r="Q19" s="27">
        <v>6</v>
      </c>
      <c r="R19" s="16" t="s">
        <v>54</v>
      </c>
      <c r="S19" s="96">
        <f t="array" ref="S19">SUMPRODUCT((VALUE(B4:B47)&gt;100)*(D4:D47&gt;0))</f>
        <v>5</v>
      </c>
      <c r="T19" s="35"/>
      <c r="U19" s="35"/>
    </row>
    <row r="20" spans="1:21" x14ac:dyDescent="0.2">
      <c r="A20" s="9"/>
      <c r="B20" s="25" t="s">
        <v>134</v>
      </c>
      <c r="C20" s="10" t="s">
        <v>135</v>
      </c>
      <c r="D20" s="7">
        <v>276</v>
      </c>
      <c r="E20" s="11">
        <f t="shared" si="0"/>
        <v>138</v>
      </c>
      <c r="F20" s="11">
        <f t="shared" si="1"/>
        <v>12</v>
      </c>
      <c r="G20" s="11">
        <v>5.5</v>
      </c>
      <c r="H20" s="11">
        <v>1.5</v>
      </c>
      <c r="I20" s="32">
        <v>137.06</v>
      </c>
      <c r="J20" s="32">
        <v>79</v>
      </c>
      <c r="K20" s="32">
        <v>0</v>
      </c>
      <c r="L20" s="29">
        <f t="shared" si="2"/>
        <v>-59.06</v>
      </c>
      <c r="M20" s="29">
        <v>-59</v>
      </c>
      <c r="N20" s="169"/>
      <c r="O20" s="91"/>
      <c r="Q20" s="27"/>
      <c r="R20" s="17" t="s">
        <v>57</v>
      </c>
      <c r="S20" s="97">
        <f>S18+S19</f>
        <v>14</v>
      </c>
      <c r="T20" s="35"/>
      <c r="U20" s="35"/>
    </row>
    <row r="21" spans="1:21" x14ac:dyDescent="0.2">
      <c r="A21" s="9"/>
      <c r="B21" s="25" t="s">
        <v>176</v>
      </c>
      <c r="C21" s="10" t="s">
        <v>177</v>
      </c>
      <c r="D21" s="7"/>
      <c r="E21" s="11">
        <f t="shared" si="0"/>
        <v>0</v>
      </c>
      <c r="F21" s="11">
        <f t="shared" si="1"/>
        <v>0</v>
      </c>
      <c r="G21" s="11"/>
      <c r="H21" s="11"/>
      <c r="I21" s="32"/>
      <c r="J21" s="32"/>
      <c r="K21" s="32"/>
      <c r="L21" s="29">
        <f t="shared" si="2"/>
        <v>0</v>
      </c>
      <c r="M21" s="29"/>
      <c r="N21" s="169"/>
      <c r="O21" s="91"/>
      <c r="Q21" s="27">
        <v>0</v>
      </c>
      <c r="R21" s="35"/>
      <c r="S21" s="35"/>
      <c r="T21" s="35"/>
      <c r="U21" s="35"/>
    </row>
    <row r="22" spans="1:21" x14ac:dyDescent="0.2">
      <c r="A22" s="9"/>
      <c r="B22" s="25" t="s">
        <v>52</v>
      </c>
      <c r="C22" s="10" t="s">
        <v>136</v>
      </c>
      <c r="D22" s="7"/>
      <c r="E22" s="11">
        <f t="shared" si="0"/>
        <v>0</v>
      </c>
      <c r="F22" s="11">
        <f t="shared" si="1"/>
        <v>0</v>
      </c>
      <c r="G22" s="11"/>
      <c r="H22" s="11"/>
      <c r="I22" s="32"/>
      <c r="J22" s="32"/>
      <c r="K22" s="32"/>
      <c r="L22" s="29">
        <f t="shared" si="2"/>
        <v>0</v>
      </c>
      <c r="M22" s="29"/>
      <c r="N22" s="169"/>
      <c r="O22" s="91"/>
      <c r="Q22" s="27">
        <v>6</v>
      </c>
    </row>
    <row r="23" spans="1:21" x14ac:dyDescent="0.2">
      <c r="A23" s="9"/>
      <c r="B23" s="25" t="s">
        <v>77</v>
      </c>
      <c r="C23" s="10" t="s">
        <v>139</v>
      </c>
      <c r="D23" s="7">
        <v>491</v>
      </c>
      <c r="E23" s="11">
        <f t="shared" si="0"/>
        <v>245.5</v>
      </c>
      <c r="F23" s="11">
        <f t="shared" si="1"/>
        <v>12</v>
      </c>
      <c r="G23" s="11">
        <v>0</v>
      </c>
      <c r="H23" s="11">
        <v>17.5</v>
      </c>
      <c r="I23" s="32">
        <v>288.5</v>
      </c>
      <c r="J23" s="32">
        <v>57.5</v>
      </c>
      <c r="K23" s="32">
        <v>0</v>
      </c>
      <c r="L23" s="29">
        <f t="shared" si="2"/>
        <v>-71</v>
      </c>
      <c r="M23" s="29">
        <v>-71</v>
      </c>
      <c r="N23" s="169"/>
      <c r="O23" s="91"/>
      <c r="P23" s="185"/>
      <c r="Q23" s="98">
        <v>6</v>
      </c>
    </row>
    <row r="24" spans="1:21" x14ac:dyDescent="0.2">
      <c r="A24" s="9"/>
      <c r="B24" s="25" t="s">
        <v>111</v>
      </c>
      <c r="C24" s="10" t="s">
        <v>170</v>
      </c>
      <c r="D24" s="7"/>
      <c r="E24" s="11">
        <f t="shared" si="0"/>
        <v>0</v>
      </c>
      <c r="F24" s="11">
        <f t="shared" si="1"/>
        <v>0</v>
      </c>
      <c r="G24" s="11"/>
      <c r="H24" s="11"/>
      <c r="I24" s="32"/>
      <c r="J24" s="32"/>
      <c r="K24" s="32"/>
      <c r="L24" s="29">
        <f t="shared" si="2"/>
        <v>0</v>
      </c>
      <c r="M24" s="29"/>
      <c r="N24" s="169"/>
      <c r="O24" s="91"/>
      <c r="Q24" s="27"/>
    </row>
    <row r="25" spans="1:21" x14ac:dyDescent="0.2">
      <c r="A25" s="9"/>
      <c r="B25" s="25" t="s">
        <v>27</v>
      </c>
      <c r="C25" s="10" t="s">
        <v>141</v>
      </c>
      <c r="D25" s="7">
        <v>280</v>
      </c>
      <c r="E25" s="11">
        <f t="shared" si="0"/>
        <v>140</v>
      </c>
      <c r="F25" s="11">
        <f t="shared" si="1"/>
        <v>12</v>
      </c>
      <c r="G25" s="11">
        <v>2.75</v>
      </c>
      <c r="H25" s="11">
        <v>4.25</v>
      </c>
      <c r="I25" s="32">
        <v>58.5</v>
      </c>
      <c r="J25" s="32">
        <v>10</v>
      </c>
      <c r="K25" s="32">
        <v>0</v>
      </c>
      <c r="L25" s="29">
        <f t="shared" si="2"/>
        <v>90.5</v>
      </c>
      <c r="M25" s="29">
        <v>91</v>
      </c>
      <c r="N25" s="169"/>
      <c r="O25" s="91"/>
      <c r="Q25" s="27">
        <v>6</v>
      </c>
    </row>
    <row r="26" spans="1:21" x14ac:dyDescent="0.2">
      <c r="A26" s="9"/>
      <c r="B26" s="25" t="s">
        <v>77</v>
      </c>
      <c r="C26" s="10" t="s">
        <v>56</v>
      </c>
      <c r="D26" s="7"/>
      <c r="E26" s="11">
        <f t="shared" si="0"/>
        <v>0</v>
      </c>
      <c r="F26" s="11">
        <f t="shared" si="1"/>
        <v>0</v>
      </c>
      <c r="G26" s="11"/>
      <c r="H26" s="11"/>
      <c r="I26" s="32"/>
      <c r="J26" s="32"/>
      <c r="K26" s="32"/>
      <c r="L26" s="29">
        <f t="shared" si="2"/>
        <v>0</v>
      </c>
      <c r="M26" s="29"/>
      <c r="N26" s="169"/>
      <c r="O26" s="91"/>
      <c r="Q26" s="168">
        <v>6</v>
      </c>
    </row>
    <row r="27" spans="1:21" x14ac:dyDescent="0.2">
      <c r="A27" s="9"/>
      <c r="B27" s="25" t="s">
        <v>97</v>
      </c>
      <c r="C27" s="10" t="s">
        <v>137</v>
      </c>
      <c r="D27" s="7">
        <v>269</v>
      </c>
      <c r="E27" s="11">
        <f t="shared" si="0"/>
        <v>134.5</v>
      </c>
      <c r="F27" s="11">
        <f t="shared" si="1"/>
        <v>12</v>
      </c>
      <c r="G27" s="11">
        <v>0</v>
      </c>
      <c r="H27" s="11">
        <v>3.5</v>
      </c>
      <c r="I27" s="32">
        <v>60</v>
      </c>
      <c r="J27" s="32">
        <v>23</v>
      </c>
      <c r="K27" s="32">
        <v>0</v>
      </c>
      <c r="L27" s="29">
        <f t="shared" si="2"/>
        <v>67</v>
      </c>
      <c r="M27" s="29">
        <v>67</v>
      </c>
      <c r="N27" s="169">
        <v>0</v>
      </c>
      <c r="O27" s="91"/>
      <c r="Q27" s="168">
        <v>6</v>
      </c>
      <c r="R27" s="212"/>
      <c r="S27" s="213"/>
    </row>
    <row r="28" spans="1:21" x14ac:dyDescent="0.2">
      <c r="A28" s="9"/>
      <c r="B28" s="25" t="s">
        <v>145</v>
      </c>
      <c r="C28" s="10" t="s">
        <v>146</v>
      </c>
      <c r="D28" s="7">
        <v>20</v>
      </c>
      <c r="E28" s="11">
        <f t="shared" si="0"/>
        <v>5</v>
      </c>
      <c r="F28" s="11">
        <f t="shared" si="1"/>
        <v>0</v>
      </c>
      <c r="G28" s="11">
        <v>0</v>
      </c>
      <c r="H28" s="11">
        <v>0</v>
      </c>
      <c r="I28" s="32">
        <v>0</v>
      </c>
      <c r="J28" s="32">
        <v>0</v>
      </c>
      <c r="K28" s="32">
        <v>0</v>
      </c>
      <c r="L28" s="29">
        <f t="shared" si="2"/>
        <v>5</v>
      </c>
      <c r="M28" s="29">
        <v>5</v>
      </c>
      <c r="N28" s="169">
        <v>0</v>
      </c>
      <c r="O28" s="91"/>
      <c r="P28" s="168" t="s">
        <v>59</v>
      </c>
      <c r="Q28" s="27">
        <v>0</v>
      </c>
      <c r="S28" s="22"/>
      <c r="T28" s="27">
        <v>1</v>
      </c>
    </row>
    <row r="29" spans="1:21" x14ac:dyDescent="0.2">
      <c r="A29" s="9"/>
      <c r="B29" s="25" t="s">
        <v>178</v>
      </c>
      <c r="C29" s="10" t="s">
        <v>179</v>
      </c>
      <c r="D29" s="7"/>
      <c r="E29" s="11">
        <f t="shared" si="0"/>
        <v>0</v>
      </c>
      <c r="F29" s="11">
        <f t="shared" si="1"/>
        <v>0</v>
      </c>
      <c r="G29" s="11"/>
      <c r="H29" s="11"/>
      <c r="I29" s="32"/>
      <c r="J29" s="32"/>
      <c r="K29" s="32"/>
      <c r="L29" s="29">
        <f t="shared" si="2"/>
        <v>0</v>
      </c>
      <c r="M29" s="29"/>
      <c r="N29" s="169"/>
      <c r="O29" s="91"/>
      <c r="S29" s="22"/>
      <c r="T29" s="27">
        <v>1</v>
      </c>
    </row>
    <row r="30" spans="1:21" x14ac:dyDescent="0.2">
      <c r="A30" s="9"/>
      <c r="B30" s="25" t="s">
        <v>115</v>
      </c>
      <c r="C30" s="10" t="s">
        <v>116</v>
      </c>
      <c r="D30" s="7">
        <v>102</v>
      </c>
      <c r="E30" s="11">
        <f t="shared" si="0"/>
        <v>25.5</v>
      </c>
      <c r="F30" s="11">
        <f t="shared" si="1"/>
        <v>2</v>
      </c>
      <c r="G30" s="11">
        <v>0</v>
      </c>
      <c r="H30" s="11">
        <v>0</v>
      </c>
      <c r="I30" s="32">
        <v>23</v>
      </c>
      <c r="J30" s="32">
        <v>0</v>
      </c>
      <c r="K30" s="32">
        <v>0</v>
      </c>
      <c r="L30" s="29">
        <f t="shared" si="2"/>
        <v>4.5</v>
      </c>
      <c r="M30" s="29">
        <v>0</v>
      </c>
      <c r="N30" s="169">
        <v>4</v>
      </c>
      <c r="O30" s="91"/>
      <c r="S30" s="22"/>
    </row>
    <row r="31" spans="1:21" x14ac:dyDescent="0.2">
      <c r="A31" s="9"/>
      <c r="B31" s="25" t="s">
        <v>52</v>
      </c>
      <c r="C31" s="10" t="s">
        <v>140</v>
      </c>
      <c r="D31" s="7"/>
      <c r="E31" s="11">
        <f t="shared" si="0"/>
        <v>0</v>
      </c>
      <c r="F31" s="11">
        <f t="shared" si="1"/>
        <v>0</v>
      </c>
      <c r="G31" s="11"/>
      <c r="H31" s="11"/>
      <c r="I31" s="32"/>
      <c r="J31" s="32"/>
      <c r="K31" s="32"/>
      <c r="L31" s="29">
        <f t="shared" si="2"/>
        <v>0</v>
      </c>
      <c r="M31" s="29"/>
      <c r="N31" s="169"/>
      <c r="O31" s="91"/>
      <c r="P31" s="168" t="s">
        <v>59</v>
      </c>
      <c r="R31" s="18"/>
      <c r="S31" s="3"/>
    </row>
    <row r="32" spans="1:21" x14ac:dyDescent="0.2">
      <c r="A32" s="9"/>
      <c r="B32" s="25" t="s">
        <v>131</v>
      </c>
      <c r="C32" s="10" t="s">
        <v>149</v>
      </c>
      <c r="D32" s="7"/>
      <c r="E32" s="11">
        <f t="shared" si="0"/>
        <v>0</v>
      </c>
      <c r="F32" s="11">
        <f t="shared" si="1"/>
        <v>0</v>
      </c>
      <c r="G32" s="11"/>
      <c r="H32" s="11"/>
      <c r="I32" s="32"/>
      <c r="J32" s="32"/>
      <c r="K32" s="32"/>
      <c r="L32" s="29">
        <f t="shared" si="2"/>
        <v>0</v>
      </c>
      <c r="M32" s="29"/>
      <c r="N32" s="169"/>
      <c r="O32" s="91"/>
      <c r="P32" s="168" t="s">
        <v>59</v>
      </c>
    </row>
    <row r="33" spans="1:19" x14ac:dyDescent="0.2">
      <c r="A33" s="9"/>
      <c r="B33" s="25" t="s">
        <v>55</v>
      </c>
      <c r="C33" s="10" t="s">
        <v>148</v>
      </c>
      <c r="D33" s="7"/>
      <c r="E33" s="11">
        <f t="shared" si="0"/>
        <v>0</v>
      </c>
      <c r="F33" s="11">
        <f t="shared" si="1"/>
        <v>0</v>
      </c>
      <c r="G33" s="11"/>
      <c r="H33" s="11"/>
      <c r="I33" s="32"/>
      <c r="J33" s="32"/>
      <c r="K33" s="32"/>
      <c r="L33" s="29">
        <f t="shared" si="2"/>
        <v>0</v>
      </c>
      <c r="M33" s="29"/>
      <c r="N33" s="169"/>
      <c r="O33" s="91"/>
    </row>
    <row r="34" spans="1:19" x14ac:dyDescent="0.2">
      <c r="A34" s="9"/>
      <c r="B34" s="25" t="s">
        <v>142</v>
      </c>
      <c r="C34" s="10" t="s">
        <v>143</v>
      </c>
      <c r="D34" s="7">
        <v>73</v>
      </c>
      <c r="E34" s="11">
        <f t="shared" si="0"/>
        <v>18.25</v>
      </c>
      <c r="F34" s="11">
        <f t="shared" si="1"/>
        <v>2</v>
      </c>
      <c r="G34" s="11">
        <v>0</v>
      </c>
      <c r="H34" s="11">
        <v>0</v>
      </c>
      <c r="I34" s="32">
        <v>0</v>
      </c>
      <c r="J34" s="32">
        <v>19.5</v>
      </c>
      <c r="K34" s="32">
        <v>0</v>
      </c>
      <c r="L34" s="29">
        <f t="shared" si="2"/>
        <v>0.75</v>
      </c>
      <c r="M34" s="29">
        <v>1</v>
      </c>
      <c r="N34" s="169">
        <v>0</v>
      </c>
      <c r="O34" s="91"/>
      <c r="R34" s="18"/>
      <c r="S34" s="1"/>
    </row>
    <row r="35" spans="1:19" x14ac:dyDescent="0.2">
      <c r="A35" s="9"/>
      <c r="B35" s="25" t="s">
        <v>180</v>
      </c>
      <c r="C35" s="10" t="s">
        <v>181</v>
      </c>
      <c r="D35" s="7"/>
      <c r="E35" s="11">
        <f t="shared" si="0"/>
        <v>0</v>
      </c>
      <c r="F35" s="11">
        <f t="shared" si="1"/>
        <v>0</v>
      </c>
      <c r="G35" s="11"/>
      <c r="H35" s="11"/>
      <c r="I35" s="32"/>
      <c r="J35" s="32"/>
      <c r="K35" s="32"/>
      <c r="L35" s="29">
        <f t="shared" si="2"/>
        <v>0</v>
      </c>
      <c r="M35" s="29"/>
      <c r="N35" s="169"/>
      <c r="O35" s="91"/>
      <c r="R35" s="18"/>
      <c r="S35" s="1"/>
    </row>
    <row r="36" spans="1:19" x14ac:dyDescent="0.2">
      <c r="A36" s="9"/>
      <c r="B36" s="25" t="s">
        <v>152</v>
      </c>
      <c r="C36" s="10" t="s">
        <v>153</v>
      </c>
      <c r="D36" s="7">
        <v>296</v>
      </c>
      <c r="E36" s="11">
        <f t="shared" si="0"/>
        <v>74</v>
      </c>
      <c r="F36" s="11">
        <f t="shared" si="1"/>
        <v>2</v>
      </c>
      <c r="G36" s="11">
        <v>0</v>
      </c>
      <c r="H36" s="11">
        <v>3.5</v>
      </c>
      <c r="I36" s="32">
        <v>73.5</v>
      </c>
      <c r="J36" s="32">
        <v>83.95</v>
      </c>
      <c r="K36" s="32">
        <v>0</v>
      </c>
      <c r="L36" s="29">
        <f t="shared" si="2"/>
        <v>-77.95</v>
      </c>
      <c r="M36" s="29">
        <v>-78</v>
      </c>
      <c r="N36" s="169"/>
      <c r="O36" s="91"/>
      <c r="R36" s="18"/>
      <c r="S36" s="1"/>
    </row>
    <row r="37" spans="1:19" x14ac:dyDescent="0.2">
      <c r="A37" s="102"/>
      <c r="B37" s="25" t="s">
        <v>182</v>
      </c>
      <c r="C37" s="10" t="s">
        <v>183</v>
      </c>
      <c r="D37" s="7"/>
      <c r="E37" s="11">
        <f t="shared" si="0"/>
        <v>0</v>
      </c>
      <c r="F37" s="11">
        <f t="shared" si="1"/>
        <v>0</v>
      </c>
      <c r="G37" s="11"/>
      <c r="H37" s="11"/>
      <c r="I37" s="32"/>
      <c r="J37" s="32"/>
      <c r="K37" s="32"/>
      <c r="L37" s="29">
        <f t="shared" si="2"/>
        <v>0</v>
      </c>
      <c r="M37" s="29"/>
      <c r="N37" s="169"/>
      <c r="O37" s="91"/>
      <c r="P37" s="168" t="s">
        <v>59</v>
      </c>
    </row>
    <row r="38" spans="1:19" x14ac:dyDescent="0.2">
      <c r="A38" s="9"/>
      <c r="B38" s="25" t="s">
        <v>25</v>
      </c>
      <c r="C38" s="10" t="s">
        <v>26</v>
      </c>
      <c r="D38" s="7"/>
      <c r="E38" s="11">
        <f t="shared" si="0"/>
        <v>0</v>
      </c>
      <c r="F38" s="11">
        <f t="shared" si="1"/>
        <v>0</v>
      </c>
      <c r="G38" s="11"/>
      <c r="H38" s="11"/>
      <c r="I38" s="32"/>
      <c r="J38" s="32"/>
      <c r="K38" s="32"/>
      <c r="L38" s="29">
        <f t="shared" si="2"/>
        <v>0</v>
      </c>
      <c r="M38" s="29"/>
      <c r="N38" s="169"/>
      <c r="O38" s="91"/>
    </row>
    <row r="39" spans="1:19" x14ac:dyDescent="0.2">
      <c r="A39" s="9"/>
      <c r="B39" s="25" t="s">
        <v>97</v>
      </c>
      <c r="C39" s="10" t="s">
        <v>100</v>
      </c>
      <c r="D39" s="7"/>
      <c r="E39" s="11">
        <f t="shared" si="0"/>
        <v>0</v>
      </c>
      <c r="F39" s="11">
        <f t="shared" si="1"/>
        <v>0</v>
      </c>
      <c r="G39" s="11"/>
      <c r="H39" s="11"/>
      <c r="I39" s="32"/>
      <c r="J39" s="32"/>
      <c r="K39" s="32"/>
      <c r="L39" s="29">
        <f t="shared" si="2"/>
        <v>0</v>
      </c>
      <c r="M39" s="29"/>
      <c r="N39" s="169"/>
      <c r="O39" s="91"/>
    </row>
    <row r="40" spans="1:19" x14ac:dyDescent="0.2">
      <c r="A40" s="9"/>
      <c r="B40" s="25"/>
      <c r="C40" s="10"/>
      <c r="D40" s="7"/>
      <c r="E40" s="11">
        <f t="shared" si="0"/>
        <v>0</v>
      </c>
      <c r="F40" s="11">
        <f t="shared" si="1"/>
        <v>0</v>
      </c>
      <c r="G40" s="11"/>
      <c r="H40" s="11"/>
      <c r="I40" s="32"/>
      <c r="J40" s="32"/>
      <c r="K40" s="32"/>
      <c r="L40" s="29">
        <f t="shared" si="2"/>
        <v>0</v>
      </c>
      <c r="M40" s="29"/>
      <c r="N40" s="169"/>
      <c r="O40" s="91"/>
    </row>
    <row r="41" spans="1:19" x14ac:dyDescent="0.2">
      <c r="A41" s="9"/>
      <c r="B41" s="25"/>
      <c r="C41" s="10"/>
      <c r="D41" s="8"/>
      <c r="E41" s="11">
        <f t="shared" si="0"/>
        <v>0</v>
      </c>
      <c r="F41" s="11">
        <f t="shared" si="1"/>
        <v>0</v>
      </c>
      <c r="G41" s="11"/>
      <c r="H41" s="11"/>
      <c r="I41" s="33"/>
      <c r="J41" s="33"/>
      <c r="K41" s="33"/>
      <c r="L41" s="29">
        <f t="shared" si="2"/>
        <v>0</v>
      </c>
      <c r="M41" s="29"/>
      <c r="N41" s="171"/>
      <c r="O41" s="25"/>
    </row>
    <row r="42" spans="1:19" x14ac:dyDescent="0.2">
      <c r="A42" s="102"/>
      <c r="B42" s="25"/>
      <c r="C42" s="10"/>
      <c r="D42" s="7"/>
      <c r="E42" s="11">
        <f t="shared" si="0"/>
        <v>0</v>
      </c>
      <c r="F42" s="11">
        <f t="shared" si="1"/>
        <v>0</v>
      </c>
      <c r="G42" s="11"/>
      <c r="H42" s="11"/>
      <c r="I42" s="32"/>
      <c r="J42" s="32"/>
      <c r="K42" s="32"/>
      <c r="L42" s="29">
        <f t="shared" si="2"/>
        <v>0</v>
      </c>
      <c r="M42" s="29"/>
      <c r="N42" s="169"/>
      <c r="O42" s="91"/>
    </row>
    <row r="43" spans="1:19" x14ac:dyDescent="0.2">
      <c r="A43" s="9"/>
      <c r="B43" s="25"/>
      <c r="C43" s="10"/>
      <c r="D43" s="7"/>
      <c r="E43" s="11">
        <f t="shared" si="0"/>
        <v>0</v>
      </c>
      <c r="F43" s="11">
        <f t="shared" si="1"/>
        <v>0</v>
      </c>
      <c r="G43" s="11"/>
      <c r="H43" s="11"/>
      <c r="I43" s="32"/>
      <c r="J43" s="32"/>
      <c r="K43" s="32"/>
      <c r="L43" s="29">
        <f t="shared" si="2"/>
        <v>0</v>
      </c>
      <c r="M43" s="29"/>
      <c r="N43" s="169"/>
      <c r="O43" s="91"/>
    </row>
    <row r="44" spans="1:19" x14ac:dyDescent="0.2">
      <c r="A44" s="9"/>
      <c r="B44" s="25"/>
      <c r="C44" s="10"/>
      <c r="D44" s="7"/>
      <c r="E44" s="11">
        <f t="shared" si="0"/>
        <v>0</v>
      </c>
      <c r="F44" s="11">
        <f t="shared" si="1"/>
        <v>0</v>
      </c>
      <c r="G44" s="11"/>
      <c r="H44" s="11"/>
      <c r="I44" s="32"/>
      <c r="J44" s="32"/>
      <c r="K44" s="32"/>
      <c r="L44" s="29">
        <f t="shared" si="2"/>
        <v>0</v>
      </c>
      <c r="M44" s="29"/>
      <c r="N44" s="169"/>
      <c r="O44" s="91"/>
    </row>
    <row r="45" spans="1:19" x14ac:dyDescent="0.2">
      <c r="A45" s="9"/>
      <c r="B45" s="103"/>
      <c r="C45" s="10"/>
      <c r="D45" s="7"/>
      <c r="E45" s="11">
        <f t="shared" si="0"/>
        <v>0</v>
      </c>
      <c r="F45" s="11">
        <f t="shared" si="1"/>
        <v>0</v>
      </c>
      <c r="G45" s="11"/>
      <c r="H45" s="11"/>
      <c r="I45" s="32"/>
      <c r="J45" s="32"/>
      <c r="K45" s="32"/>
      <c r="L45" s="29">
        <f t="shared" si="2"/>
        <v>0</v>
      </c>
      <c r="M45" s="29"/>
      <c r="N45" s="169"/>
      <c r="O45" s="91"/>
    </row>
    <row r="46" spans="1:19" x14ac:dyDescent="0.2">
      <c r="A46" s="9"/>
      <c r="B46" s="25"/>
      <c r="C46" s="10"/>
      <c r="D46" s="7"/>
      <c r="E46" s="11">
        <f t="shared" si="0"/>
        <v>0</v>
      </c>
      <c r="F46" s="11">
        <f t="shared" si="1"/>
        <v>0</v>
      </c>
      <c r="G46" s="11"/>
      <c r="H46" s="11"/>
      <c r="I46" s="32"/>
      <c r="J46" s="32"/>
      <c r="K46" s="32"/>
      <c r="L46" s="29">
        <f t="shared" si="2"/>
        <v>0</v>
      </c>
      <c r="M46" s="29"/>
      <c r="N46" s="169"/>
      <c r="O46" s="91"/>
    </row>
    <row r="47" spans="1:19" x14ac:dyDescent="0.2">
      <c r="A47" s="9"/>
      <c r="B47" s="25"/>
      <c r="C47" s="10"/>
      <c r="D47" s="7"/>
      <c r="E47" s="11">
        <f t="shared" si="0"/>
        <v>0</v>
      </c>
      <c r="F47" s="11">
        <f t="shared" si="1"/>
        <v>0</v>
      </c>
      <c r="G47" s="11"/>
      <c r="H47" s="11"/>
      <c r="I47" s="32"/>
      <c r="J47" s="32"/>
      <c r="K47" s="32"/>
      <c r="L47" s="29">
        <f t="shared" si="2"/>
        <v>0</v>
      </c>
      <c r="M47" s="29"/>
      <c r="N47" s="169"/>
      <c r="O47" s="91"/>
    </row>
    <row r="48" spans="1:19" x14ac:dyDescent="0.2">
      <c r="D48" s="3">
        <f t="shared" ref="D48:N48" si="3">SUM(D4:D47)</f>
        <v>2955</v>
      </c>
      <c r="E48" s="21">
        <f t="shared" si="3"/>
        <v>1343.75</v>
      </c>
      <c r="F48" s="3">
        <f t="shared" si="3"/>
        <v>110</v>
      </c>
      <c r="G48" s="3">
        <f t="shared" si="3"/>
        <v>19.25</v>
      </c>
      <c r="H48" s="3">
        <f t="shared" si="3"/>
        <v>41.5</v>
      </c>
      <c r="I48" s="3">
        <f t="shared" si="3"/>
        <v>1030.44</v>
      </c>
      <c r="J48" s="3">
        <f t="shared" si="3"/>
        <v>366.07</v>
      </c>
      <c r="K48" s="3">
        <f t="shared" si="3"/>
        <v>0</v>
      </c>
      <c r="L48" s="3">
        <f t="shared" si="3"/>
        <v>117.99</v>
      </c>
      <c r="M48" s="3">
        <f t="shared" si="3"/>
        <v>20</v>
      </c>
      <c r="N48" s="3">
        <f t="shared" si="3"/>
        <v>92</v>
      </c>
      <c r="O48" s="174"/>
    </row>
  </sheetData>
  <mergeCells count="1">
    <mergeCell ref="R27:S27"/>
  </mergeCells>
  <conditionalFormatting sqref="C4:C34">
    <cfRule type="expression" dxfId="35" priority="1">
      <formula>$M4&lt;0</formula>
    </cfRule>
  </conditionalFormatting>
  <conditionalFormatting sqref="C36">
    <cfRule type="expression" dxfId="34" priority="4">
      <formula>$M$36&lt;0</formula>
    </cfRule>
  </conditionalFormatting>
  <conditionalFormatting sqref="C37:C47">
    <cfRule type="expression" dxfId="33" priority="2">
      <formula>$M37&lt;0</formula>
    </cfRule>
  </conditionalFormatting>
  <conditionalFormatting sqref="M4:M47">
    <cfRule type="cellIs" dxfId="32" priority="30" operator="lessThan">
      <formula>0</formula>
    </cfRule>
  </conditionalFormatting>
  <pageMargins left="0.7" right="0.7" top="0.75" bottom="0.75" header="0.3" footer="0.3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V61"/>
  <sheetViews>
    <sheetView showGridLines="0" workbookViewId="0">
      <selection activeCell="A9" sqref="A9"/>
    </sheetView>
  </sheetViews>
  <sheetFormatPr baseColWidth="10" defaultColWidth="8.83203125" defaultRowHeight="15" x14ac:dyDescent="0.2"/>
  <cols>
    <col min="1" max="1" width="6" style="1" customWidth="1"/>
    <col min="2" max="2" width="12.1640625" style="26" customWidth="1"/>
    <col min="3" max="3" width="18.5" style="1" bestFit="1" customWidth="1"/>
    <col min="4" max="13" width="12.1640625" customWidth="1"/>
    <col min="14" max="14" width="12.5" bestFit="1" customWidth="1"/>
    <col min="15" max="15" width="15" customWidth="1"/>
    <col min="16" max="17" width="6" style="1" customWidth="1"/>
    <col min="18" max="18" width="12.5" bestFit="1" customWidth="1"/>
    <col min="19" max="19" width="10.6640625" customWidth="1"/>
  </cols>
  <sheetData>
    <row r="1" spans="1:22" x14ac:dyDescent="0.2">
      <c r="A1" s="4" t="s">
        <v>0</v>
      </c>
      <c r="B1" s="108">
        <f>'Mon AM'!B1+4</f>
        <v>46122</v>
      </c>
      <c r="C1" s="208"/>
      <c r="D1" s="4" t="s">
        <v>1</v>
      </c>
      <c r="E1" s="6" t="s">
        <v>2</v>
      </c>
    </row>
    <row r="3" spans="1:22" x14ac:dyDescent="0.2">
      <c r="A3" s="4"/>
      <c r="B3" s="23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101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28" t="s">
        <v>16</v>
      </c>
      <c r="P3" s="27"/>
      <c r="Q3" s="27"/>
    </row>
    <row r="4" spans="1:22" x14ac:dyDescent="0.2">
      <c r="A4" s="10"/>
      <c r="B4" s="24" t="s">
        <v>17</v>
      </c>
      <c r="C4" s="10" t="s">
        <v>18</v>
      </c>
      <c r="D4" s="11">
        <v>251</v>
      </c>
      <c r="E4" s="11">
        <f t="shared" ref="E4:E47" si="0">IF(AND(VALUE(B4)&lt;100, D4&gt;0),D4*0.5,D4*0.25)</f>
        <v>125.5</v>
      </c>
      <c r="F4" s="11">
        <f t="shared" ref="F4:F47" si="1">IF(P4="C",Q4,IF(AND(VALUE(B4)&lt;100, D4&gt;0),12,IF(D4&gt;0,2,0)))</f>
        <v>12</v>
      </c>
      <c r="G4" s="11">
        <v>2.75</v>
      </c>
      <c r="H4" s="11">
        <v>4.25</v>
      </c>
      <c r="I4" s="31">
        <v>20</v>
      </c>
      <c r="J4" s="31">
        <v>76.959999999999994</v>
      </c>
      <c r="K4" s="31">
        <v>0</v>
      </c>
      <c r="L4" s="29">
        <f t="shared" ref="L4:L47" si="2">(E4+F4+G4+H4)-I4-J4-K4</f>
        <v>47.540000000000006</v>
      </c>
      <c r="M4" s="29">
        <v>48</v>
      </c>
      <c r="N4" s="169">
        <v>0</v>
      </c>
      <c r="O4" s="172"/>
      <c r="P4" s="27"/>
      <c r="Q4" s="27"/>
      <c r="R4" s="15" t="s">
        <v>19</v>
      </c>
      <c r="S4" s="12">
        <f>D48</f>
        <v>6131.5</v>
      </c>
      <c r="U4" s="36"/>
      <c r="V4" s="1"/>
    </row>
    <row r="5" spans="1:22" x14ac:dyDescent="0.2">
      <c r="A5" s="9"/>
      <c r="B5" s="25" t="s">
        <v>20</v>
      </c>
      <c r="C5" s="10" t="s">
        <v>21</v>
      </c>
      <c r="D5" s="7">
        <v>272</v>
      </c>
      <c r="E5" s="11">
        <f t="shared" si="0"/>
        <v>136</v>
      </c>
      <c r="F5" s="11">
        <f t="shared" si="1"/>
        <v>12</v>
      </c>
      <c r="G5" s="11">
        <v>0</v>
      </c>
      <c r="H5" s="11">
        <v>7</v>
      </c>
      <c r="I5" s="32">
        <v>178.9</v>
      </c>
      <c r="J5" s="32">
        <v>20.7</v>
      </c>
      <c r="K5" s="32">
        <v>0</v>
      </c>
      <c r="L5" s="29">
        <f t="shared" si="2"/>
        <v>-44.600000000000009</v>
      </c>
      <c r="M5" s="29">
        <v>-45</v>
      </c>
      <c r="N5" s="169"/>
      <c r="O5" s="91"/>
      <c r="P5" s="27"/>
      <c r="Q5" s="27"/>
      <c r="R5" s="16" t="s">
        <v>22</v>
      </c>
      <c r="S5" s="13">
        <f>E48</f>
        <v>2825.5</v>
      </c>
      <c r="U5" s="1"/>
      <c r="V5" s="1"/>
    </row>
    <row r="6" spans="1:22" x14ac:dyDescent="0.2">
      <c r="A6" s="9"/>
      <c r="B6" s="25" t="s">
        <v>23</v>
      </c>
      <c r="C6" s="10" t="s">
        <v>24</v>
      </c>
      <c r="D6" s="7">
        <v>32</v>
      </c>
      <c r="E6" s="11">
        <f t="shared" si="0"/>
        <v>8</v>
      </c>
      <c r="F6" s="11">
        <f t="shared" si="1"/>
        <v>2</v>
      </c>
      <c r="G6" s="11">
        <v>0</v>
      </c>
      <c r="H6" s="11">
        <v>0</v>
      </c>
      <c r="I6" s="32">
        <v>0</v>
      </c>
      <c r="J6" s="32">
        <v>0</v>
      </c>
      <c r="K6" s="32">
        <v>0</v>
      </c>
      <c r="L6" s="29">
        <f t="shared" si="2"/>
        <v>10</v>
      </c>
      <c r="M6" s="29">
        <v>10</v>
      </c>
      <c r="N6" s="169"/>
      <c r="O6" s="91"/>
      <c r="P6" s="27"/>
      <c r="Q6" s="27">
        <v>6</v>
      </c>
      <c r="R6" s="16" t="s">
        <v>7</v>
      </c>
      <c r="S6" s="13">
        <f>F48</f>
        <v>254</v>
      </c>
      <c r="U6" s="22"/>
    </row>
    <row r="7" spans="1:22" x14ac:dyDescent="0.2">
      <c r="A7" s="9"/>
      <c r="B7" s="25" t="s">
        <v>25</v>
      </c>
      <c r="C7" s="10" t="s">
        <v>26</v>
      </c>
      <c r="D7" s="7">
        <v>245</v>
      </c>
      <c r="E7" s="11">
        <f t="shared" si="0"/>
        <v>61.25</v>
      </c>
      <c r="F7" s="11">
        <f t="shared" si="1"/>
        <v>2</v>
      </c>
      <c r="G7" s="11">
        <v>0</v>
      </c>
      <c r="H7" s="11">
        <v>3.5</v>
      </c>
      <c r="I7" s="32">
        <v>63.5</v>
      </c>
      <c r="J7" s="32">
        <v>37.950000000000003</v>
      </c>
      <c r="K7" s="32">
        <v>0</v>
      </c>
      <c r="L7" s="29">
        <f t="shared" si="2"/>
        <v>-34.700000000000003</v>
      </c>
      <c r="M7" s="29">
        <v>-35</v>
      </c>
      <c r="N7" s="169"/>
      <c r="O7" s="91"/>
      <c r="P7" s="27"/>
      <c r="Q7" s="27">
        <v>6</v>
      </c>
      <c r="R7" s="16" t="s">
        <v>8</v>
      </c>
      <c r="S7" s="13">
        <f>G48</f>
        <v>46.75</v>
      </c>
      <c r="U7" s="22"/>
    </row>
    <row r="8" spans="1:22" x14ac:dyDescent="0.2">
      <c r="A8" s="9"/>
      <c r="B8" s="25" t="s">
        <v>27</v>
      </c>
      <c r="C8" s="10" t="s">
        <v>28</v>
      </c>
      <c r="D8" s="7">
        <v>273</v>
      </c>
      <c r="E8" s="11">
        <f t="shared" si="0"/>
        <v>136.5</v>
      </c>
      <c r="F8" s="11">
        <f t="shared" si="1"/>
        <v>12</v>
      </c>
      <c r="G8" s="11">
        <v>0</v>
      </c>
      <c r="H8" s="11">
        <v>3.5</v>
      </c>
      <c r="I8" s="32">
        <v>6</v>
      </c>
      <c r="J8" s="32">
        <v>59.75</v>
      </c>
      <c r="K8" s="32">
        <v>0</v>
      </c>
      <c r="L8" s="29">
        <f t="shared" si="2"/>
        <v>86.25</v>
      </c>
      <c r="M8" s="29">
        <v>86</v>
      </c>
      <c r="N8" s="169"/>
      <c r="O8" s="91"/>
      <c r="P8" s="27"/>
      <c r="Q8" s="27">
        <v>6</v>
      </c>
      <c r="R8" s="16" t="s">
        <v>9</v>
      </c>
      <c r="S8" s="13">
        <f>H48</f>
        <v>65.75</v>
      </c>
      <c r="U8" s="22"/>
    </row>
    <row r="9" spans="1:22" x14ac:dyDescent="0.2">
      <c r="A9" s="9"/>
      <c r="B9" s="25" t="s">
        <v>29</v>
      </c>
      <c r="C9" s="10" t="s">
        <v>30</v>
      </c>
      <c r="D9" s="7"/>
      <c r="E9" s="11">
        <f t="shared" si="0"/>
        <v>0</v>
      </c>
      <c r="F9" s="11">
        <f t="shared" si="1"/>
        <v>0</v>
      </c>
      <c r="G9" s="11"/>
      <c r="H9" s="11"/>
      <c r="I9" s="32"/>
      <c r="J9" s="32"/>
      <c r="K9" s="32"/>
      <c r="L9" s="29">
        <f t="shared" si="2"/>
        <v>0</v>
      </c>
      <c r="M9" s="29"/>
      <c r="N9" s="169"/>
      <c r="O9" s="91"/>
      <c r="P9" s="27"/>
      <c r="Q9" s="27">
        <v>6</v>
      </c>
      <c r="R9" s="16" t="s">
        <v>10</v>
      </c>
      <c r="S9" s="13">
        <f>I48</f>
        <v>2079.6900000000005</v>
      </c>
      <c r="U9" s="22"/>
    </row>
    <row r="10" spans="1:22" x14ac:dyDescent="0.2">
      <c r="A10" s="9"/>
      <c r="B10" s="25" t="s">
        <v>31</v>
      </c>
      <c r="C10" s="10" t="s">
        <v>32</v>
      </c>
      <c r="D10" s="7">
        <v>237</v>
      </c>
      <c r="E10" s="11">
        <f t="shared" si="0"/>
        <v>118.5</v>
      </c>
      <c r="F10" s="11">
        <f t="shared" si="1"/>
        <v>12</v>
      </c>
      <c r="G10" s="11">
        <v>2.75</v>
      </c>
      <c r="H10" s="11">
        <v>7.75</v>
      </c>
      <c r="I10" s="32">
        <v>90.5</v>
      </c>
      <c r="J10" s="32">
        <v>78.459999999999994</v>
      </c>
      <c r="K10" s="32">
        <v>0</v>
      </c>
      <c r="L10" s="29">
        <f t="shared" si="2"/>
        <v>-27.959999999999994</v>
      </c>
      <c r="M10" s="29">
        <v>-28</v>
      </c>
      <c r="N10" s="169"/>
      <c r="O10" s="91"/>
      <c r="P10" s="27"/>
      <c r="Q10" s="27"/>
      <c r="R10" s="16" t="s">
        <v>11</v>
      </c>
      <c r="S10" s="13">
        <f>J48</f>
        <v>747.99</v>
      </c>
      <c r="U10" s="22"/>
    </row>
    <row r="11" spans="1:22" x14ac:dyDescent="0.2">
      <c r="A11" s="9"/>
      <c r="B11" s="25" t="s">
        <v>33</v>
      </c>
      <c r="C11" s="10" t="s">
        <v>34</v>
      </c>
      <c r="D11" s="7">
        <v>187</v>
      </c>
      <c r="E11" s="11">
        <f t="shared" si="0"/>
        <v>46.75</v>
      </c>
      <c r="F11" s="11">
        <f t="shared" si="1"/>
        <v>2</v>
      </c>
      <c r="G11" s="11">
        <v>0</v>
      </c>
      <c r="H11" s="11">
        <v>0</v>
      </c>
      <c r="I11" s="32">
        <v>33.6</v>
      </c>
      <c r="J11" s="32">
        <v>0</v>
      </c>
      <c r="K11" s="32">
        <v>0</v>
      </c>
      <c r="L11" s="29">
        <f t="shared" si="2"/>
        <v>15.149999999999999</v>
      </c>
      <c r="M11" s="29">
        <v>15</v>
      </c>
      <c r="N11" s="169"/>
      <c r="O11" s="91"/>
      <c r="P11" s="27"/>
      <c r="Q11" s="27"/>
      <c r="R11" s="16" t="s">
        <v>12</v>
      </c>
      <c r="S11" s="13">
        <f>K48</f>
        <v>75</v>
      </c>
      <c r="U11" s="22"/>
    </row>
    <row r="12" spans="1:22" x14ac:dyDescent="0.2">
      <c r="A12" s="9"/>
      <c r="B12" s="25" t="s">
        <v>35</v>
      </c>
      <c r="C12" s="10" t="s">
        <v>36</v>
      </c>
      <c r="D12" s="7">
        <v>36</v>
      </c>
      <c r="E12" s="11">
        <f t="shared" si="0"/>
        <v>9</v>
      </c>
      <c r="F12" s="11">
        <f t="shared" si="1"/>
        <v>2</v>
      </c>
      <c r="G12" s="11">
        <v>0</v>
      </c>
      <c r="H12" s="11">
        <v>0</v>
      </c>
      <c r="I12" s="32">
        <v>49.92</v>
      </c>
      <c r="J12" s="32">
        <v>0</v>
      </c>
      <c r="K12" s="32">
        <v>0</v>
      </c>
      <c r="L12" s="29">
        <f t="shared" si="2"/>
        <v>-38.92</v>
      </c>
      <c r="M12" s="29">
        <v>-39</v>
      </c>
      <c r="N12" s="169"/>
      <c r="O12" s="91"/>
      <c r="P12" s="27"/>
      <c r="Q12" s="27">
        <v>6</v>
      </c>
      <c r="R12" s="17" t="s">
        <v>37</v>
      </c>
      <c r="S12" s="14">
        <f>N48</f>
        <v>0</v>
      </c>
      <c r="U12" s="22"/>
    </row>
    <row r="13" spans="1:22" x14ac:dyDescent="0.2">
      <c r="A13" s="9"/>
      <c r="B13" s="25" t="s">
        <v>38</v>
      </c>
      <c r="C13" s="10" t="s">
        <v>39</v>
      </c>
      <c r="D13" s="7">
        <v>77</v>
      </c>
      <c r="E13" s="11">
        <f t="shared" si="0"/>
        <v>19.25</v>
      </c>
      <c r="F13" s="11">
        <f t="shared" si="1"/>
        <v>2</v>
      </c>
      <c r="G13" s="11">
        <v>2.75</v>
      </c>
      <c r="H13" s="11">
        <v>0.75</v>
      </c>
      <c r="I13" s="32">
        <v>0</v>
      </c>
      <c r="J13" s="32">
        <v>63.86</v>
      </c>
      <c r="K13" s="32">
        <v>0</v>
      </c>
      <c r="L13" s="29">
        <f t="shared" si="2"/>
        <v>-39.11</v>
      </c>
      <c r="M13" s="29">
        <v>-39</v>
      </c>
      <c r="N13" s="169"/>
      <c r="O13" s="91"/>
      <c r="P13" s="27"/>
      <c r="Q13" s="27">
        <v>6</v>
      </c>
      <c r="R13" s="18"/>
      <c r="S13" s="30">
        <f>S5+S6+S7-S9-S10-S11-S12</f>
        <v>223.56999999999948</v>
      </c>
      <c r="U13" s="22"/>
    </row>
    <row r="14" spans="1:22" x14ac:dyDescent="0.2">
      <c r="A14" s="9"/>
      <c r="B14" s="25" t="s">
        <v>40</v>
      </c>
      <c r="C14" s="10" t="s">
        <v>41</v>
      </c>
      <c r="D14" s="7">
        <v>186</v>
      </c>
      <c r="E14" s="11">
        <f t="shared" si="0"/>
        <v>93</v>
      </c>
      <c r="F14" s="11">
        <f t="shared" si="1"/>
        <v>12</v>
      </c>
      <c r="G14" s="11">
        <v>0</v>
      </c>
      <c r="H14" s="11">
        <v>3.5</v>
      </c>
      <c r="I14" s="32">
        <v>144.41999999999999</v>
      </c>
      <c r="J14" s="32">
        <v>0</v>
      </c>
      <c r="K14" s="32">
        <v>0</v>
      </c>
      <c r="L14" s="29">
        <f t="shared" si="2"/>
        <v>-35.919999999999987</v>
      </c>
      <c r="M14" s="29">
        <v>-36</v>
      </c>
      <c r="N14" s="169"/>
      <c r="O14" s="91"/>
      <c r="P14" s="27"/>
      <c r="Q14" s="27">
        <v>6</v>
      </c>
      <c r="R14" s="19" t="s">
        <v>42</v>
      </c>
      <c r="S14" s="20">
        <f>M48</f>
        <v>289</v>
      </c>
      <c r="U14" s="22"/>
    </row>
    <row r="15" spans="1:22" x14ac:dyDescent="0.2">
      <c r="A15" s="9"/>
      <c r="B15" s="25" t="s">
        <v>43</v>
      </c>
      <c r="C15" s="10" t="s">
        <v>44</v>
      </c>
      <c r="D15" s="7">
        <v>315</v>
      </c>
      <c r="E15" s="11">
        <f t="shared" si="0"/>
        <v>157.5</v>
      </c>
      <c r="F15" s="11">
        <f t="shared" si="1"/>
        <v>12</v>
      </c>
      <c r="G15" s="11">
        <v>0</v>
      </c>
      <c r="H15" s="11">
        <v>7</v>
      </c>
      <c r="I15" s="32">
        <v>170</v>
      </c>
      <c r="J15" s="32">
        <v>9.1999999999999993</v>
      </c>
      <c r="K15" s="32">
        <v>0</v>
      </c>
      <c r="L15" s="29">
        <f t="shared" si="2"/>
        <v>-2.6999999999999993</v>
      </c>
      <c r="M15" s="29">
        <v>-3</v>
      </c>
      <c r="N15" s="170"/>
      <c r="O15" s="91"/>
      <c r="P15" s="27"/>
      <c r="Q15" s="27"/>
      <c r="U15" s="22"/>
    </row>
    <row r="16" spans="1:22" x14ac:dyDescent="0.2">
      <c r="A16" s="9"/>
      <c r="B16" s="25" t="s">
        <v>45</v>
      </c>
      <c r="C16" s="10" t="s">
        <v>46</v>
      </c>
      <c r="D16" s="7">
        <v>235</v>
      </c>
      <c r="E16" s="11">
        <f t="shared" si="0"/>
        <v>117.5</v>
      </c>
      <c r="F16" s="11">
        <f t="shared" si="1"/>
        <v>12</v>
      </c>
      <c r="G16" s="11">
        <v>8.25</v>
      </c>
      <c r="H16" s="11">
        <v>0.75</v>
      </c>
      <c r="I16" s="32">
        <v>150.30000000000001</v>
      </c>
      <c r="J16" s="32">
        <v>0</v>
      </c>
      <c r="K16" s="32">
        <v>0</v>
      </c>
      <c r="L16" s="29">
        <f t="shared" si="2"/>
        <v>-11.800000000000011</v>
      </c>
      <c r="M16" s="29">
        <v>-12</v>
      </c>
      <c r="N16" s="169"/>
      <c r="O16" s="91"/>
      <c r="P16" s="27"/>
      <c r="Q16" s="27">
        <v>6</v>
      </c>
      <c r="U16" s="22"/>
    </row>
    <row r="17" spans="1:21" x14ac:dyDescent="0.2">
      <c r="A17" s="9"/>
      <c r="B17" s="25" t="s">
        <v>47</v>
      </c>
      <c r="C17" s="10" t="s">
        <v>48</v>
      </c>
      <c r="D17" s="7"/>
      <c r="E17" s="11">
        <f t="shared" si="0"/>
        <v>0</v>
      </c>
      <c r="F17" s="11">
        <f t="shared" si="1"/>
        <v>0</v>
      </c>
      <c r="G17" s="11"/>
      <c r="H17" s="11"/>
      <c r="I17" s="32"/>
      <c r="J17" s="32"/>
      <c r="K17" s="32"/>
      <c r="L17" s="29">
        <f t="shared" si="2"/>
        <v>0</v>
      </c>
      <c r="M17" s="29"/>
      <c r="N17" s="169"/>
      <c r="O17" s="91"/>
      <c r="P17" s="27"/>
      <c r="Q17" s="27">
        <v>6</v>
      </c>
      <c r="R17" s="34"/>
      <c r="S17" s="34"/>
      <c r="T17" s="34"/>
      <c r="U17" s="22"/>
    </row>
    <row r="18" spans="1:21" x14ac:dyDescent="0.2">
      <c r="A18" s="9"/>
      <c r="B18" s="25" t="s">
        <v>49</v>
      </c>
      <c r="C18" s="10" t="s">
        <v>50</v>
      </c>
      <c r="D18" s="7"/>
      <c r="E18" s="11">
        <f t="shared" si="0"/>
        <v>0</v>
      </c>
      <c r="F18" s="11">
        <f t="shared" si="1"/>
        <v>0</v>
      </c>
      <c r="G18" s="11"/>
      <c r="H18" s="11"/>
      <c r="I18" s="32"/>
      <c r="J18" s="32"/>
      <c r="K18" s="32"/>
      <c r="L18" s="29">
        <f t="shared" si="2"/>
        <v>0</v>
      </c>
      <c r="M18" s="29"/>
      <c r="N18" s="169"/>
      <c r="O18" s="91"/>
      <c r="P18" s="27"/>
      <c r="Q18" s="27">
        <v>0</v>
      </c>
      <c r="R18" s="15" t="s">
        <v>51</v>
      </c>
      <c r="S18" s="95">
        <f t="array" ref="S18">SUMPRODUCT((VALUE(B4:B47)&lt;100)*(D4:D47&gt;0))</f>
        <v>20</v>
      </c>
      <c r="T18" s="35"/>
      <c r="U18" s="22"/>
    </row>
    <row r="19" spans="1:21" x14ac:dyDescent="0.2">
      <c r="A19" s="9"/>
      <c r="B19" s="25" t="s">
        <v>52</v>
      </c>
      <c r="C19" s="10" t="s">
        <v>53</v>
      </c>
      <c r="D19" s="7"/>
      <c r="E19" s="11">
        <f t="shared" si="0"/>
        <v>0</v>
      </c>
      <c r="F19" s="11">
        <f t="shared" si="1"/>
        <v>0</v>
      </c>
      <c r="G19" s="11"/>
      <c r="H19" s="11"/>
      <c r="I19" s="32"/>
      <c r="J19" s="32"/>
      <c r="K19" s="32"/>
      <c r="L19" s="29">
        <f t="shared" si="2"/>
        <v>0</v>
      </c>
      <c r="M19" s="29"/>
      <c r="N19" s="170"/>
      <c r="O19" s="173"/>
      <c r="P19" s="27"/>
      <c r="Q19" s="27">
        <v>0</v>
      </c>
      <c r="R19" s="16" t="s">
        <v>54</v>
      </c>
      <c r="S19" s="96">
        <f t="array" ref="S19">SUMPRODUCT((VALUE(B4:B47)&gt;100)*(D4:D47&gt;0))</f>
        <v>7</v>
      </c>
      <c r="U19" s="22"/>
    </row>
    <row r="20" spans="1:21" x14ac:dyDescent="0.2">
      <c r="A20" s="9"/>
      <c r="B20" s="25" t="s">
        <v>55</v>
      </c>
      <c r="C20" s="10" t="s">
        <v>56</v>
      </c>
      <c r="D20" s="7">
        <v>285</v>
      </c>
      <c r="E20" s="11">
        <f t="shared" si="0"/>
        <v>142.5</v>
      </c>
      <c r="F20" s="11">
        <f t="shared" si="1"/>
        <v>12</v>
      </c>
      <c r="G20" s="11">
        <v>2.75</v>
      </c>
      <c r="H20" s="11">
        <v>4.25</v>
      </c>
      <c r="I20" s="32">
        <v>65.959999999999994</v>
      </c>
      <c r="J20" s="32">
        <v>6</v>
      </c>
      <c r="K20" s="32">
        <v>0</v>
      </c>
      <c r="L20" s="29">
        <f t="shared" si="2"/>
        <v>89.54</v>
      </c>
      <c r="M20" s="29">
        <v>90</v>
      </c>
      <c r="N20" s="169"/>
      <c r="O20" s="91"/>
      <c r="P20" s="27"/>
      <c r="Q20" s="27">
        <v>6</v>
      </c>
      <c r="R20" s="17" t="s">
        <v>57</v>
      </c>
      <c r="S20" s="97">
        <f>S18+S19</f>
        <v>27</v>
      </c>
      <c r="U20" s="22"/>
    </row>
    <row r="21" spans="1:21" x14ac:dyDescent="0.2">
      <c r="A21" s="9"/>
      <c r="B21" s="25" t="s">
        <v>27</v>
      </c>
      <c r="C21" s="10" t="s">
        <v>58</v>
      </c>
      <c r="D21" s="7"/>
      <c r="E21" s="11">
        <f t="shared" si="0"/>
        <v>0</v>
      </c>
      <c r="F21" s="11">
        <f t="shared" si="1"/>
        <v>0</v>
      </c>
      <c r="G21" s="11"/>
      <c r="H21" s="11"/>
      <c r="I21" s="32"/>
      <c r="J21" s="32"/>
      <c r="K21" s="32"/>
      <c r="L21" s="29">
        <f t="shared" si="2"/>
        <v>0</v>
      </c>
      <c r="M21" s="29"/>
      <c r="N21" s="169"/>
      <c r="O21" s="91"/>
      <c r="P21" s="27" t="s">
        <v>59</v>
      </c>
      <c r="Q21" s="27">
        <v>0</v>
      </c>
      <c r="U21" s="22"/>
    </row>
    <row r="22" spans="1:21" x14ac:dyDescent="0.2">
      <c r="A22" s="9"/>
      <c r="B22" s="25" t="s">
        <v>49</v>
      </c>
      <c r="C22" s="10" t="s">
        <v>60</v>
      </c>
      <c r="D22" s="7">
        <v>199</v>
      </c>
      <c r="E22" s="11">
        <f t="shared" si="0"/>
        <v>99.5</v>
      </c>
      <c r="F22" s="11">
        <f t="shared" si="1"/>
        <v>12</v>
      </c>
      <c r="G22" s="11">
        <v>0</v>
      </c>
      <c r="H22" s="11">
        <v>0</v>
      </c>
      <c r="I22" s="32">
        <v>30</v>
      </c>
      <c r="J22" s="32">
        <v>0</v>
      </c>
      <c r="K22" s="32">
        <v>0</v>
      </c>
      <c r="L22" s="29">
        <f t="shared" si="2"/>
        <v>81.5</v>
      </c>
      <c r="M22" s="29">
        <v>81</v>
      </c>
      <c r="N22" s="169"/>
      <c r="O22" s="91"/>
      <c r="P22" s="27"/>
      <c r="Q22" s="27">
        <v>6</v>
      </c>
      <c r="U22" s="22"/>
    </row>
    <row r="23" spans="1:21" x14ac:dyDescent="0.2">
      <c r="A23" s="9"/>
      <c r="B23" s="103" t="s">
        <v>61</v>
      </c>
      <c r="C23" s="10" t="s">
        <v>62</v>
      </c>
      <c r="D23" s="7">
        <v>230</v>
      </c>
      <c r="E23" s="11">
        <f t="shared" si="0"/>
        <v>57.5</v>
      </c>
      <c r="F23" s="11">
        <f t="shared" si="1"/>
        <v>2</v>
      </c>
      <c r="G23" s="11">
        <v>0</v>
      </c>
      <c r="H23" s="11">
        <v>0</v>
      </c>
      <c r="I23" s="32">
        <v>29</v>
      </c>
      <c r="J23" s="32">
        <v>0</v>
      </c>
      <c r="K23" s="32">
        <v>0</v>
      </c>
      <c r="L23" s="29">
        <f t="shared" si="2"/>
        <v>30.5</v>
      </c>
      <c r="M23" s="29">
        <v>31</v>
      </c>
      <c r="N23" s="169"/>
      <c r="O23" s="91"/>
      <c r="P23" s="27"/>
      <c r="Q23" s="27">
        <v>6</v>
      </c>
      <c r="U23" s="22"/>
    </row>
    <row r="24" spans="1:21" x14ac:dyDescent="0.2">
      <c r="A24" s="102"/>
      <c r="B24" s="25" t="s">
        <v>63</v>
      </c>
      <c r="C24" s="10" t="s">
        <v>64</v>
      </c>
      <c r="D24" s="7">
        <v>325</v>
      </c>
      <c r="E24" s="11">
        <f t="shared" si="0"/>
        <v>162.5</v>
      </c>
      <c r="F24" s="11">
        <f t="shared" si="1"/>
        <v>12</v>
      </c>
      <c r="G24" s="11">
        <v>0</v>
      </c>
      <c r="H24" s="11">
        <v>7</v>
      </c>
      <c r="I24" s="32">
        <v>87.5</v>
      </c>
      <c r="J24" s="32">
        <v>51.75</v>
      </c>
      <c r="K24" s="32">
        <v>0</v>
      </c>
      <c r="L24" s="29">
        <f t="shared" si="2"/>
        <v>42.25</v>
      </c>
      <c r="M24" s="29">
        <v>43</v>
      </c>
      <c r="N24" s="169"/>
      <c r="O24" s="91"/>
      <c r="P24" s="27"/>
      <c r="Q24" s="27">
        <v>0</v>
      </c>
      <c r="U24" s="22"/>
    </row>
    <row r="25" spans="1:21" x14ac:dyDescent="0.2">
      <c r="A25" s="9"/>
      <c r="B25" s="25" t="s">
        <v>65</v>
      </c>
      <c r="C25" s="10" t="s">
        <v>66</v>
      </c>
      <c r="D25" s="7">
        <v>272</v>
      </c>
      <c r="E25" s="11">
        <f t="shared" si="0"/>
        <v>136</v>
      </c>
      <c r="F25" s="11">
        <f t="shared" si="1"/>
        <v>12</v>
      </c>
      <c r="G25" s="11">
        <v>0</v>
      </c>
      <c r="H25" s="11">
        <v>0</v>
      </c>
      <c r="I25" s="32">
        <v>37</v>
      </c>
      <c r="J25" s="32">
        <v>103.5</v>
      </c>
      <c r="K25" s="32">
        <v>0</v>
      </c>
      <c r="L25" s="29">
        <f t="shared" si="2"/>
        <v>7.5</v>
      </c>
      <c r="M25" s="29">
        <v>7</v>
      </c>
      <c r="N25" s="169"/>
      <c r="O25" s="91"/>
      <c r="P25" s="27"/>
      <c r="Q25" s="27">
        <v>0</v>
      </c>
      <c r="U25" s="22"/>
    </row>
    <row r="26" spans="1:21" x14ac:dyDescent="0.2">
      <c r="A26" s="9"/>
      <c r="B26" s="25" t="s">
        <v>40</v>
      </c>
      <c r="C26" s="10" t="s">
        <v>67</v>
      </c>
      <c r="D26" s="7"/>
      <c r="E26" s="11">
        <f t="shared" si="0"/>
        <v>0</v>
      </c>
      <c r="F26" s="11">
        <f t="shared" si="1"/>
        <v>0</v>
      </c>
      <c r="G26" s="11"/>
      <c r="H26" s="11"/>
      <c r="I26" s="32"/>
      <c r="J26" s="32"/>
      <c r="K26" s="32"/>
      <c r="L26" s="29">
        <f t="shared" si="2"/>
        <v>0</v>
      </c>
      <c r="M26" s="29"/>
      <c r="N26" s="169"/>
      <c r="O26" s="91"/>
      <c r="P26" s="27"/>
      <c r="Q26" s="27"/>
      <c r="R26" s="212"/>
      <c r="S26" s="213"/>
      <c r="U26" s="22"/>
    </row>
    <row r="27" spans="1:21" x14ac:dyDescent="0.2">
      <c r="A27" s="9"/>
      <c r="B27" s="25" t="s">
        <v>55</v>
      </c>
      <c r="C27" s="10" t="s">
        <v>68</v>
      </c>
      <c r="D27" s="7">
        <v>288</v>
      </c>
      <c r="E27" s="11">
        <f t="shared" si="0"/>
        <v>144</v>
      </c>
      <c r="F27" s="11">
        <f t="shared" si="1"/>
        <v>12</v>
      </c>
      <c r="G27" s="11">
        <v>2.75</v>
      </c>
      <c r="H27" s="11">
        <v>4.25</v>
      </c>
      <c r="I27" s="32">
        <v>213.21</v>
      </c>
      <c r="J27" s="32">
        <v>92</v>
      </c>
      <c r="K27" s="32">
        <v>0</v>
      </c>
      <c r="L27" s="29">
        <f t="shared" si="2"/>
        <v>-142.21</v>
      </c>
      <c r="M27" s="29">
        <v>-142</v>
      </c>
      <c r="N27" s="169"/>
      <c r="O27" s="91"/>
      <c r="P27" s="27"/>
      <c r="Q27" s="27"/>
      <c r="S27" s="22"/>
      <c r="T27" s="27">
        <v>6</v>
      </c>
      <c r="U27" s="22"/>
    </row>
    <row r="28" spans="1:21" x14ac:dyDescent="0.2">
      <c r="A28" s="9"/>
      <c r="B28" s="25" t="s">
        <v>69</v>
      </c>
      <c r="C28" s="10" t="s">
        <v>70</v>
      </c>
      <c r="D28" s="7"/>
      <c r="E28" s="11">
        <f t="shared" si="0"/>
        <v>0</v>
      </c>
      <c r="F28" s="11">
        <f t="shared" si="1"/>
        <v>0</v>
      </c>
      <c r="G28" s="11"/>
      <c r="H28" s="11"/>
      <c r="I28" s="32"/>
      <c r="J28" s="32"/>
      <c r="K28" s="32"/>
      <c r="L28" s="29">
        <f t="shared" si="2"/>
        <v>0</v>
      </c>
      <c r="M28" s="29"/>
      <c r="N28" s="169"/>
      <c r="O28" s="91"/>
      <c r="P28" s="27"/>
      <c r="Q28" s="27"/>
      <c r="S28" s="22"/>
      <c r="T28" s="27">
        <v>4</v>
      </c>
      <c r="U28" s="22"/>
    </row>
    <row r="29" spans="1:21" x14ac:dyDescent="0.2">
      <c r="A29" s="9"/>
      <c r="B29" s="25" t="s">
        <v>71</v>
      </c>
      <c r="C29" s="10" t="s">
        <v>72</v>
      </c>
      <c r="D29" s="7">
        <v>154</v>
      </c>
      <c r="E29" s="11">
        <f t="shared" si="0"/>
        <v>38.5</v>
      </c>
      <c r="F29" s="11">
        <f t="shared" si="1"/>
        <v>2</v>
      </c>
      <c r="G29" s="11">
        <v>2.75</v>
      </c>
      <c r="H29" s="11">
        <v>0.75</v>
      </c>
      <c r="I29" s="32">
        <v>61.56</v>
      </c>
      <c r="J29" s="32">
        <v>0</v>
      </c>
      <c r="K29" s="32">
        <v>0</v>
      </c>
      <c r="L29" s="29">
        <f t="shared" si="2"/>
        <v>-17.560000000000002</v>
      </c>
      <c r="M29" s="29">
        <v>-18</v>
      </c>
      <c r="N29" s="169"/>
      <c r="O29" s="91"/>
      <c r="P29" s="27"/>
      <c r="Q29" s="27">
        <v>6</v>
      </c>
      <c r="S29" s="22"/>
      <c r="U29" s="22"/>
    </row>
    <row r="30" spans="1:21" x14ac:dyDescent="0.2">
      <c r="A30" s="9"/>
      <c r="B30" s="25" t="s">
        <v>73</v>
      </c>
      <c r="C30" s="10" t="s">
        <v>74</v>
      </c>
      <c r="D30" s="7"/>
      <c r="E30" s="11">
        <f t="shared" si="0"/>
        <v>0</v>
      </c>
      <c r="F30" s="11">
        <f t="shared" si="1"/>
        <v>0</v>
      </c>
      <c r="G30" s="11"/>
      <c r="H30" s="11"/>
      <c r="I30" s="32"/>
      <c r="J30" s="32"/>
      <c r="K30" s="32"/>
      <c r="L30" s="29">
        <f t="shared" si="2"/>
        <v>0</v>
      </c>
      <c r="M30" s="29"/>
      <c r="N30" s="169"/>
      <c r="O30" s="91"/>
      <c r="P30" s="27"/>
      <c r="Q30" s="27">
        <v>6</v>
      </c>
      <c r="R30" s="18"/>
      <c r="S30" s="3"/>
      <c r="U30" s="22"/>
    </row>
    <row r="31" spans="1:21" x14ac:dyDescent="0.2">
      <c r="A31" s="9"/>
      <c r="B31" s="25" t="s">
        <v>75</v>
      </c>
      <c r="C31" s="10" t="s">
        <v>76</v>
      </c>
      <c r="D31" s="7">
        <v>372</v>
      </c>
      <c r="E31" s="11">
        <f t="shared" si="0"/>
        <v>186</v>
      </c>
      <c r="F31" s="11">
        <f t="shared" si="1"/>
        <v>12</v>
      </c>
      <c r="G31" s="11">
        <v>2.75</v>
      </c>
      <c r="H31" s="11">
        <v>0.75</v>
      </c>
      <c r="I31" s="32">
        <v>35.75</v>
      </c>
      <c r="J31" s="32">
        <v>64.66</v>
      </c>
      <c r="K31" s="32">
        <v>0</v>
      </c>
      <c r="L31" s="29">
        <f t="shared" si="2"/>
        <v>101.09</v>
      </c>
      <c r="M31" s="29">
        <v>101</v>
      </c>
      <c r="N31" s="169"/>
      <c r="O31" s="91"/>
      <c r="P31" s="27"/>
      <c r="Q31" s="27"/>
      <c r="U31" s="22"/>
    </row>
    <row r="32" spans="1:21" x14ac:dyDescent="0.2">
      <c r="A32" s="9"/>
      <c r="B32" s="25" t="s">
        <v>77</v>
      </c>
      <c r="C32" s="10" t="s">
        <v>78</v>
      </c>
      <c r="D32" s="7"/>
      <c r="E32" s="11">
        <f t="shared" si="0"/>
        <v>0</v>
      </c>
      <c r="F32" s="11">
        <f t="shared" si="1"/>
        <v>0</v>
      </c>
      <c r="G32" s="11"/>
      <c r="H32" s="11"/>
      <c r="I32" s="32"/>
      <c r="J32" s="32"/>
      <c r="K32" s="32"/>
      <c r="L32" s="29">
        <f t="shared" si="2"/>
        <v>0</v>
      </c>
      <c r="M32" s="29"/>
      <c r="N32" s="169"/>
      <c r="O32" s="91"/>
      <c r="P32" s="27"/>
      <c r="Q32" s="27">
        <v>6</v>
      </c>
      <c r="U32" s="22"/>
    </row>
    <row r="33" spans="1:21" x14ac:dyDescent="0.2">
      <c r="A33" s="9"/>
      <c r="B33" s="25" t="s">
        <v>31</v>
      </c>
      <c r="C33" s="10" t="s">
        <v>79</v>
      </c>
      <c r="D33" s="7"/>
      <c r="E33" s="11">
        <f t="shared" si="0"/>
        <v>0</v>
      </c>
      <c r="F33" s="11">
        <f t="shared" si="1"/>
        <v>0</v>
      </c>
      <c r="G33" s="11"/>
      <c r="H33" s="11"/>
      <c r="I33" s="32"/>
      <c r="J33" s="32"/>
      <c r="K33" s="32"/>
      <c r="L33" s="29">
        <f t="shared" si="2"/>
        <v>0</v>
      </c>
      <c r="M33" s="29"/>
      <c r="N33" s="169"/>
      <c r="O33" s="91"/>
      <c r="P33" s="27"/>
      <c r="Q33" s="27"/>
      <c r="U33" s="22"/>
    </row>
    <row r="34" spans="1:21" x14ac:dyDescent="0.2">
      <c r="A34" s="9"/>
      <c r="B34" s="25" t="s">
        <v>43</v>
      </c>
      <c r="C34" s="10" t="s">
        <v>80</v>
      </c>
      <c r="D34" s="7">
        <v>225</v>
      </c>
      <c r="E34" s="11">
        <f t="shared" si="0"/>
        <v>112.5</v>
      </c>
      <c r="F34" s="11">
        <f t="shared" si="1"/>
        <v>12</v>
      </c>
      <c r="G34" s="11">
        <v>2.75</v>
      </c>
      <c r="H34" s="11">
        <v>0</v>
      </c>
      <c r="I34" s="32">
        <v>27.4</v>
      </c>
      <c r="J34" s="32">
        <v>0</v>
      </c>
      <c r="K34" s="32">
        <v>0</v>
      </c>
      <c r="L34" s="29">
        <f t="shared" si="2"/>
        <v>99.85</v>
      </c>
      <c r="M34" s="29">
        <v>100</v>
      </c>
      <c r="N34" s="169"/>
      <c r="O34" s="91"/>
      <c r="P34" s="27"/>
      <c r="Q34" s="27">
        <v>6</v>
      </c>
      <c r="U34" s="22"/>
    </row>
    <row r="35" spans="1:21" x14ac:dyDescent="0.2">
      <c r="A35" s="9"/>
      <c r="B35" s="25" t="s">
        <v>27</v>
      </c>
      <c r="C35" s="10" t="s">
        <v>81</v>
      </c>
      <c r="D35" s="7">
        <v>304</v>
      </c>
      <c r="E35" s="11">
        <f t="shared" si="0"/>
        <v>152</v>
      </c>
      <c r="F35" s="11">
        <f t="shared" si="1"/>
        <v>12</v>
      </c>
      <c r="G35" s="11">
        <v>0</v>
      </c>
      <c r="H35" s="11">
        <v>7</v>
      </c>
      <c r="I35" s="32">
        <v>38</v>
      </c>
      <c r="J35" s="32">
        <v>68</v>
      </c>
      <c r="K35" s="32">
        <v>0</v>
      </c>
      <c r="L35" s="29">
        <f t="shared" si="2"/>
        <v>65</v>
      </c>
      <c r="M35" s="29">
        <v>65</v>
      </c>
      <c r="N35" s="169">
        <v>0</v>
      </c>
      <c r="O35" s="91"/>
      <c r="P35" s="27"/>
      <c r="Q35" s="27">
        <v>6</v>
      </c>
      <c r="U35" s="22"/>
    </row>
    <row r="36" spans="1:21" x14ac:dyDescent="0.2">
      <c r="A36" s="9"/>
      <c r="B36" s="25" t="s">
        <v>82</v>
      </c>
      <c r="C36" s="10" t="s">
        <v>83</v>
      </c>
      <c r="D36" s="7"/>
      <c r="E36" s="11">
        <f t="shared" si="0"/>
        <v>0</v>
      </c>
      <c r="F36" s="11">
        <f t="shared" si="1"/>
        <v>0</v>
      </c>
      <c r="G36" s="11"/>
      <c r="H36" s="11"/>
      <c r="I36" s="32"/>
      <c r="J36" s="32"/>
      <c r="K36" s="32"/>
      <c r="L36" s="29">
        <f t="shared" si="2"/>
        <v>0</v>
      </c>
      <c r="M36" s="29"/>
      <c r="N36" s="169"/>
      <c r="O36" s="91"/>
      <c r="P36" s="27"/>
      <c r="Q36" s="27"/>
      <c r="U36" s="22"/>
    </row>
    <row r="37" spans="1:21" x14ac:dyDescent="0.2">
      <c r="A37" s="9"/>
      <c r="B37" s="25" t="s">
        <v>84</v>
      </c>
      <c r="C37" s="10" t="s">
        <v>85</v>
      </c>
      <c r="D37" s="7"/>
      <c r="E37" s="11">
        <f t="shared" si="0"/>
        <v>0</v>
      </c>
      <c r="F37" s="11">
        <f t="shared" si="1"/>
        <v>0</v>
      </c>
      <c r="G37" s="11"/>
      <c r="H37" s="11"/>
      <c r="I37" s="32"/>
      <c r="J37" s="32"/>
      <c r="K37" s="32"/>
      <c r="L37" s="29">
        <f t="shared" si="2"/>
        <v>0</v>
      </c>
      <c r="M37" s="29"/>
      <c r="N37" s="169"/>
      <c r="O37" s="91"/>
      <c r="P37" s="27" t="s">
        <v>59</v>
      </c>
      <c r="Q37" s="27"/>
      <c r="U37" s="22"/>
    </row>
    <row r="38" spans="1:21" x14ac:dyDescent="0.2">
      <c r="A38" s="9"/>
      <c r="B38" s="25" t="s">
        <v>86</v>
      </c>
      <c r="C38" s="10" t="s">
        <v>87</v>
      </c>
      <c r="D38" s="8"/>
      <c r="E38" s="11">
        <f t="shared" si="0"/>
        <v>0</v>
      </c>
      <c r="F38" s="11">
        <f t="shared" si="1"/>
        <v>0</v>
      </c>
      <c r="G38" s="11"/>
      <c r="H38" s="11"/>
      <c r="I38" s="33"/>
      <c r="J38" s="33"/>
      <c r="K38" s="33"/>
      <c r="L38" s="29">
        <f t="shared" si="2"/>
        <v>0</v>
      </c>
      <c r="M38" s="29"/>
      <c r="N38" s="171"/>
      <c r="O38" s="25"/>
      <c r="P38" s="27"/>
      <c r="Q38" s="27">
        <v>6</v>
      </c>
      <c r="U38" s="22"/>
    </row>
    <row r="39" spans="1:21" x14ac:dyDescent="0.2">
      <c r="A39" s="9"/>
      <c r="B39" s="25" t="s">
        <v>47</v>
      </c>
      <c r="C39" s="10" t="s">
        <v>88</v>
      </c>
      <c r="D39" s="7">
        <v>320</v>
      </c>
      <c r="E39" s="11">
        <f t="shared" si="0"/>
        <v>160</v>
      </c>
      <c r="F39" s="11">
        <f t="shared" si="1"/>
        <v>12</v>
      </c>
      <c r="G39" s="11">
        <v>5.5</v>
      </c>
      <c r="H39" s="11">
        <v>1.5</v>
      </c>
      <c r="I39" s="32">
        <v>183.76</v>
      </c>
      <c r="J39" s="32">
        <v>6</v>
      </c>
      <c r="K39" s="32">
        <v>0</v>
      </c>
      <c r="L39" s="29">
        <f t="shared" si="2"/>
        <v>-10.759999999999991</v>
      </c>
      <c r="M39" s="29">
        <v>-11</v>
      </c>
      <c r="N39" s="169"/>
      <c r="O39" s="91"/>
      <c r="P39" s="27"/>
      <c r="Q39" s="27">
        <v>6</v>
      </c>
      <c r="U39" s="22"/>
    </row>
    <row r="40" spans="1:21" x14ac:dyDescent="0.2">
      <c r="A40" s="9"/>
      <c r="B40" s="25" t="s">
        <v>89</v>
      </c>
      <c r="C40" s="10" t="s">
        <v>90</v>
      </c>
      <c r="D40" s="7">
        <v>206</v>
      </c>
      <c r="E40" s="11">
        <f t="shared" si="0"/>
        <v>103</v>
      </c>
      <c r="F40" s="11">
        <f t="shared" si="1"/>
        <v>12</v>
      </c>
      <c r="G40" s="11">
        <v>2.75</v>
      </c>
      <c r="H40" s="11">
        <v>0.75</v>
      </c>
      <c r="I40" s="32">
        <v>35.6</v>
      </c>
      <c r="J40" s="32">
        <v>0</v>
      </c>
      <c r="K40" s="32">
        <v>0</v>
      </c>
      <c r="L40" s="29">
        <f t="shared" si="2"/>
        <v>82.9</v>
      </c>
      <c r="M40" s="29">
        <v>83</v>
      </c>
      <c r="N40" s="169">
        <v>0</v>
      </c>
      <c r="O40" s="91"/>
      <c r="P40" s="27"/>
      <c r="Q40" s="27"/>
      <c r="U40" s="22"/>
    </row>
    <row r="41" spans="1:21" x14ac:dyDescent="0.2">
      <c r="A41" s="9"/>
      <c r="B41" s="25" t="s">
        <v>91</v>
      </c>
      <c r="C41" s="10" t="s">
        <v>92</v>
      </c>
      <c r="D41" s="7"/>
      <c r="E41" s="11">
        <f t="shared" si="0"/>
        <v>0</v>
      </c>
      <c r="F41" s="11">
        <f t="shared" si="1"/>
        <v>0</v>
      </c>
      <c r="G41" s="11"/>
      <c r="H41" s="11"/>
      <c r="I41" s="32"/>
      <c r="J41" s="32"/>
      <c r="K41" s="32"/>
      <c r="L41" s="29">
        <f t="shared" si="2"/>
        <v>0</v>
      </c>
      <c r="M41" s="29"/>
      <c r="N41" s="169"/>
      <c r="O41" s="91"/>
      <c r="P41" s="27"/>
      <c r="Q41" s="27"/>
      <c r="U41" s="22"/>
    </row>
    <row r="42" spans="1:21" x14ac:dyDescent="0.2">
      <c r="A42" s="102"/>
      <c r="B42" s="25" t="s">
        <v>93</v>
      </c>
      <c r="C42" s="10" t="s">
        <v>94</v>
      </c>
      <c r="D42" s="7"/>
      <c r="E42" s="11">
        <f t="shared" si="0"/>
        <v>0</v>
      </c>
      <c r="F42" s="11">
        <f t="shared" si="1"/>
        <v>0</v>
      </c>
      <c r="G42" s="11"/>
      <c r="H42" s="11"/>
      <c r="I42" s="32"/>
      <c r="J42" s="32"/>
      <c r="K42" s="32"/>
      <c r="L42" s="29">
        <f t="shared" si="2"/>
        <v>0</v>
      </c>
      <c r="M42" s="29"/>
      <c r="N42" s="169"/>
      <c r="O42" s="91"/>
      <c r="P42" s="27"/>
      <c r="Q42" s="27"/>
      <c r="U42" s="22"/>
    </row>
    <row r="43" spans="1:21" x14ac:dyDescent="0.2">
      <c r="A43" s="9"/>
      <c r="B43" s="25" t="s">
        <v>49</v>
      </c>
      <c r="C43" s="10" t="s">
        <v>95</v>
      </c>
      <c r="D43" s="7">
        <v>244.5</v>
      </c>
      <c r="E43" s="11">
        <f t="shared" si="0"/>
        <v>122.25</v>
      </c>
      <c r="F43" s="11">
        <f t="shared" si="1"/>
        <v>12</v>
      </c>
      <c r="G43" s="11">
        <v>2.75</v>
      </c>
      <c r="H43" s="11">
        <v>0.75</v>
      </c>
      <c r="I43" s="32">
        <v>221.46</v>
      </c>
      <c r="J43" s="32">
        <v>0</v>
      </c>
      <c r="K43" s="32">
        <v>0</v>
      </c>
      <c r="L43" s="29">
        <f t="shared" si="2"/>
        <v>-83.710000000000008</v>
      </c>
      <c r="M43" s="29">
        <v>-84</v>
      </c>
      <c r="N43" s="169"/>
      <c r="O43" s="91"/>
      <c r="P43" s="27"/>
      <c r="Q43" s="27"/>
      <c r="U43" s="22"/>
    </row>
    <row r="44" spans="1:21" x14ac:dyDescent="0.2">
      <c r="A44" s="9"/>
      <c r="B44" s="25" t="s">
        <v>43</v>
      </c>
      <c r="C44" s="10" t="s">
        <v>96</v>
      </c>
      <c r="D44" s="7">
        <v>214</v>
      </c>
      <c r="E44" s="11">
        <f t="shared" si="0"/>
        <v>107</v>
      </c>
      <c r="F44" s="11">
        <f t="shared" si="1"/>
        <v>12</v>
      </c>
      <c r="G44" s="11">
        <v>5.5</v>
      </c>
      <c r="H44" s="11">
        <v>0.75</v>
      </c>
      <c r="I44" s="32">
        <v>91.55</v>
      </c>
      <c r="J44" s="32">
        <v>0</v>
      </c>
      <c r="K44" s="32">
        <v>0</v>
      </c>
      <c r="L44" s="29">
        <f t="shared" si="2"/>
        <v>33.700000000000003</v>
      </c>
      <c r="M44" s="29">
        <v>34</v>
      </c>
      <c r="N44" s="169"/>
      <c r="O44" s="91"/>
      <c r="P44" s="27"/>
      <c r="Q44" s="27"/>
      <c r="U44" s="22"/>
    </row>
    <row r="45" spans="1:21" x14ac:dyDescent="0.2">
      <c r="A45" s="9"/>
      <c r="B45" s="25" t="s">
        <v>97</v>
      </c>
      <c r="C45" s="10" t="s">
        <v>98</v>
      </c>
      <c r="D45" s="7">
        <v>147</v>
      </c>
      <c r="E45" s="11">
        <f t="shared" si="0"/>
        <v>73.5</v>
      </c>
      <c r="F45" s="11">
        <f t="shared" si="1"/>
        <v>12</v>
      </c>
      <c r="G45" s="11">
        <v>0</v>
      </c>
      <c r="H45" s="11">
        <v>0</v>
      </c>
      <c r="I45" s="32">
        <v>14.8</v>
      </c>
      <c r="J45" s="32">
        <v>9.1999999999999993</v>
      </c>
      <c r="K45" s="32">
        <v>75</v>
      </c>
      <c r="L45" s="29">
        <f t="shared" si="2"/>
        <v>-13.5</v>
      </c>
      <c r="M45" s="29">
        <v>-13</v>
      </c>
      <c r="N45" s="169"/>
      <c r="O45" s="91"/>
      <c r="P45" s="27"/>
      <c r="Q45" s="27">
        <v>6</v>
      </c>
      <c r="U45" s="22"/>
    </row>
    <row r="46" spans="1:21" x14ac:dyDescent="0.2">
      <c r="A46" s="9"/>
      <c r="B46" s="25" t="s">
        <v>99</v>
      </c>
      <c r="C46" s="10" t="s">
        <v>100</v>
      </c>
      <c r="D46" s="7"/>
      <c r="E46" s="11">
        <f t="shared" si="0"/>
        <v>0</v>
      </c>
      <c r="F46" s="11">
        <f t="shared" si="1"/>
        <v>0</v>
      </c>
      <c r="G46" s="11"/>
      <c r="H46" s="11"/>
      <c r="I46" s="32"/>
      <c r="J46" s="32"/>
      <c r="K46" s="32"/>
      <c r="L46" s="29">
        <f t="shared" si="2"/>
        <v>0</v>
      </c>
      <c r="M46" s="29"/>
      <c r="N46" s="169"/>
      <c r="O46" s="91"/>
      <c r="P46" s="27"/>
      <c r="Q46" s="27">
        <v>6</v>
      </c>
      <c r="U46" s="22"/>
    </row>
    <row r="47" spans="1:21" x14ac:dyDescent="0.2">
      <c r="A47" s="9"/>
      <c r="B47" s="25"/>
      <c r="C47" s="10"/>
      <c r="D47" s="7"/>
      <c r="E47" s="11">
        <f t="shared" si="0"/>
        <v>0</v>
      </c>
      <c r="F47" s="11">
        <f t="shared" si="1"/>
        <v>0</v>
      </c>
      <c r="G47" s="11"/>
      <c r="H47" s="11"/>
      <c r="I47" s="32"/>
      <c r="J47" s="32"/>
      <c r="K47" s="32"/>
      <c r="L47" s="29">
        <f t="shared" si="2"/>
        <v>0</v>
      </c>
      <c r="M47" s="29"/>
      <c r="N47" s="169"/>
      <c r="O47" s="91"/>
      <c r="P47" s="27"/>
      <c r="Q47" s="27">
        <v>6</v>
      </c>
      <c r="U47" s="22"/>
    </row>
    <row r="48" spans="1:21" x14ac:dyDescent="0.2">
      <c r="D48" s="3">
        <f t="shared" ref="D48:N48" si="3">SUM(D4:D47)</f>
        <v>6131.5</v>
      </c>
      <c r="E48" s="21">
        <f t="shared" si="3"/>
        <v>2825.5</v>
      </c>
      <c r="F48" s="3">
        <f t="shared" si="3"/>
        <v>254</v>
      </c>
      <c r="G48" s="3">
        <f t="shared" si="3"/>
        <v>46.75</v>
      </c>
      <c r="H48" s="3">
        <f t="shared" si="3"/>
        <v>65.75</v>
      </c>
      <c r="I48" s="3">
        <f t="shared" si="3"/>
        <v>2079.6900000000005</v>
      </c>
      <c r="J48" s="3">
        <f t="shared" si="3"/>
        <v>747.99</v>
      </c>
      <c r="K48" s="3">
        <f t="shared" si="3"/>
        <v>75</v>
      </c>
      <c r="L48" s="3">
        <f t="shared" si="3"/>
        <v>289.32</v>
      </c>
      <c r="M48" s="3">
        <f t="shared" si="3"/>
        <v>289</v>
      </c>
      <c r="N48" s="3">
        <f t="shared" si="3"/>
        <v>0</v>
      </c>
      <c r="O48" s="174"/>
      <c r="U48" s="22"/>
    </row>
    <row r="49" spans="5:21" x14ac:dyDescent="0.2">
      <c r="E49" s="2"/>
      <c r="U49" s="22"/>
    </row>
    <row r="50" spans="5:21" x14ac:dyDescent="0.2">
      <c r="E50" s="2"/>
      <c r="U50" s="22"/>
    </row>
    <row r="51" spans="5:21" x14ac:dyDescent="0.2">
      <c r="E51" s="2"/>
      <c r="U51" s="22"/>
    </row>
    <row r="52" spans="5:21" x14ac:dyDescent="0.2">
      <c r="E52" s="2"/>
      <c r="U52" s="22"/>
    </row>
    <row r="53" spans="5:21" x14ac:dyDescent="0.2">
      <c r="E53" s="2"/>
      <c r="U53" s="22"/>
    </row>
    <row r="54" spans="5:21" x14ac:dyDescent="0.2">
      <c r="U54" s="22"/>
    </row>
    <row r="55" spans="5:21" x14ac:dyDescent="0.2">
      <c r="U55" s="22"/>
    </row>
    <row r="56" spans="5:21" x14ac:dyDescent="0.2">
      <c r="U56" s="22"/>
    </row>
    <row r="57" spans="5:21" x14ac:dyDescent="0.2">
      <c r="U57" s="22"/>
    </row>
    <row r="58" spans="5:21" x14ac:dyDescent="0.2">
      <c r="U58" s="22"/>
    </row>
    <row r="59" spans="5:21" x14ac:dyDescent="0.2">
      <c r="U59" s="22"/>
    </row>
    <row r="60" spans="5:21" x14ac:dyDescent="0.2">
      <c r="U60" s="22"/>
    </row>
    <row r="61" spans="5:21" x14ac:dyDescent="0.2">
      <c r="U61" s="22"/>
    </row>
  </sheetData>
  <mergeCells count="1">
    <mergeCell ref="R26:S26"/>
  </mergeCells>
  <conditionalFormatting sqref="C4:C12 C14:C47">
    <cfRule type="expression" dxfId="31" priority="2">
      <formula>$M4&lt;0</formula>
    </cfRule>
  </conditionalFormatting>
  <conditionalFormatting sqref="C13">
    <cfRule type="expression" dxfId="30" priority="1">
      <formula>$M$13&lt;0</formula>
    </cfRule>
  </conditionalFormatting>
  <conditionalFormatting sqref="M4:M47">
    <cfRule type="cellIs" dxfId="29" priority="8" operator="lessThan">
      <formula>0</formula>
    </cfRule>
  </conditionalFormatting>
  <pageMargins left="0.7" right="0.7" top="0.75" bottom="0.75" header="0.3" footer="0.3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V48"/>
  <sheetViews>
    <sheetView showGridLines="0" workbookViewId="0">
      <selection activeCell="N23" sqref="N23"/>
    </sheetView>
  </sheetViews>
  <sheetFormatPr baseColWidth="10" defaultColWidth="8.83203125" defaultRowHeight="15" x14ac:dyDescent="0.2"/>
  <cols>
    <col min="1" max="1" width="6.5" style="1" customWidth="1"/>
    <col min="2" max="2" width="12.1640625" style="26" customWidth="1"/>
    <col min="3" max="3" width="18.1640625" style="1" bestFit="1" customWidth="1"/>
    <col min="4" max="13" width="12.1640625" customWidth="1"/>
    <col min="14" max="14" width="12.5" bestFit="1" customWidth="1"/>
    <col min="15" max="15" width="17.6640625" customWidth="1"/>
    <col min="16" max="17" width="6" style="1" customWidth="1"/>
    <col min="18" max="18" width="12.5" bestFit="1" customWidth="1"/>
    <col min="19" max="19" width="10.5" customWidth="1"/>
    <col min="22" max="22" width="12.1640625" bestFit="1" customWidth="1"/>
  </cols>
  <sheetData>
    <row r="1" spans="1:22" x14ac:dyDescent="0.2">
      <c r="A1" s="4" t="s">
        <v>0</v>
      </c>
      <c r="B1" s="108">
        <f>'Mon AM'!B1+4</f>
        <v>46122</v>
      </c>
      <c r="C1" s="208"/>
      <c r="D1" s="4" t="s">
        <v>1</v>
      </c>
      <c r="E1" s="6" t="s">
        <v>112</v>
      </c>
    </row>
    <row r="3" spans="1:22" x14ac:dyDescent="0.2">
      <c r="A3" s="4"/>
      <c r="B3" s="23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101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28" t="s">
        <v>16</v>
      </c>
    </row>
    <row r="4" spans="1:22" x14ac:dyDescent="0.2">
      <c r="A4" s="10"/>
      <c r="B4" s="24" t="s">
        <v>113</v>
      </c>
      <c r="C4" s="10" t="s">
        <v>114</v>
      </c>
      <c r="D4" s="11"/>
      <c r="E4" s="11">
        <f t="shared" ref="E4:E47" si="0">IF(AND(VALUE(B4)&lt;100, D4&gt;0),D4*0.5,D4*0.25)</f>
        <v>0</v>
      </c>
      <c r="F4" s="11">
        <f t="shared" ref="F4:F47" si="1">IF(P4="C",Q4,IF(AND(VALUE(B4)&lt;100, D4&gt;0),12,IF(D4&gt;0,2,0)))</f>
        <v>0</v>
      </c>
      <c r="G4" s="11"/>
      <c r="H4" s="11"/>
      <c r="I4" s="31"/>
      <c r="J4" s="31"/>
      <c r="K4" s="31"/>
      <c r="L4" s="29">
        <f t="shared" ref="L4:L47" si="2">(E4+F4+G4+H4)-I4-J4-K4</f>
        <v>0</v>
      </c>
      <c r="M4" s="29"/>
      <c r="N4" s="169"/>
      <c r="O4" s="172"/>
      <c r="P4" s="27" t="s">
        <v>59</v>
      </c>
      <c r="Q4" s="27">
        <v>0</v>
      </c>
      <c r="R4" s="15" t="s">
        <v>19</v>
      </c>
      <c r="S4" s="12">
        <f>D48</f>
        <v>3148</v>
      </c>
      <c r="U4" s="1"/>
      <c r="V4" s="1"/>
    </row>
    <row r="5" spans="1:22" x14ac:dyDescent="0.2">
      <c r="A5" s="9"/>
      <c r="B5" s="25" t="s">
        <v>115</v>
      </c>
      <c r="C5" s="10" t="s">
        <v>116</v>
      </c>
      <c r="D5" s="7">
        <v>92</v>
      </c>
      <c r="E5" s="11">
        <f t="shared" si="0"/>
        <v>23</v>
      </c>
      <c r="F5" s="11">
        <f t="shared" si="1"/>
        <v>2</v>
      </c>
      <c r="G5" s="11">
        <v>0</v>
      </c>
      <c r="H5" s="11">
        <v>0</v>
      </c>
      <c r="I5" s="32">
        <v>26</v>
      </c>
      <c r="J5" s="32">
        <v>0</v>
      </c>
      <c r="K5" s="32">
        <v>0</v>
      </c>
      <c r="L5" s="29">
        <f t="shared" si="2"/>
        <v>-1</v>
      </c>
      <c r="M5" s="29">
        <v>-1</v>
      </c>
      <c r="N5" s="169">
        <v>-1</v>
      </c>
      <c r="O5" s="91" t="s">
        <v>184</v>
      </c>
      <c r="P5" s="27"/>
      <c r="Q5" s="27">
        <v>0</v>
      </c>
      <c r="R5" s="16" t="s">
        <v>22</v>
      </c>
      <c r="S5" s="13">
        <f>E48</f>
        <v>1429.75</v>
      </c>
      <c r="U5" s="1"/>
      <c r="V5" s="1"/>
    </row>
    <row r="6" spans="1:22" x14ac:dyDescent="0.2">
      <c r="A6" s="9"/>
      <c r="B6" s="25" t="s">
        <v>117</v>
      </c>
      <c r="C6" s="10" t="s">
        <v>118</v>
      </c>
      <c r="D6" s="7"/>
      <c r="E6" s="11">
        <f t="shared" si="0"/>
        <v>0</v>
      </c>
      <c r="F6" s="11">
        <f t="shared" si="1"/>
        <v>0</v>
      </c>
      <c r="G6" s="11"/>
      <c r="H6" s="11"/>
      <c r="I6" s="32"/>
      <c r="J6" s="32"/>
      <c r="K6" s="32"/>
      <c r="L6" s="29">
        <f t="shared" si="2"/>
        <v>0</v>
      </c>
      <c r="M6" s="29"/>
      <c r="N6" s="169"/>
      <c r="O6" s="91"/>
      <c r="P6" s="27"/>
      <c r="Q6" s="27">
        <v>0</v>
      </c>
      <c r="R6" s="16" t="s">
        <v>7</v>
      </c>
      <c r="S6" s="13">
        <f>F48</f>
        <v>120</v>
      </c>
    </row>
    <row r="7" spans="1:22" x14ac:dyDescent="0.2">
      <c r="A7" s="9"/>
      <c r="B7" s="25" t="s">
        <v>17</v>
      </c>
      <c r="C7" s="10" t="s">
        <v>119</v>
      </c>
      <c r="D7" s="7">
        <v>310</v>
      </c>
      <c r="E7" s="11">
        <f t="shared" si="0"/>
        <v>155</v>
      </c>
      <c r="F7" s="11">
        <f t="shared" si="1"/>
        <v>12</v>
      </c>
      <c r="G7" s="11">
        <v>8.25</v>
      </c>
      <c r="H7" s="11">
        <v>9.25</v>
      </c>
      <c r="I7" s="32">
        <v>246.92</v>
      </c>
      <c r="J7" s="32">
        <v>63.86</v>
      </c>
      <c r="K7" s="32">
        <v>0</v>
      </c>
      <c r="L7" s="29">
        <f t="shared" si="2"/>
        <v>-126.27999999999999</v>
      </c>
      <c r="M7" s="29">
        <v>-126</v>
      </c>
      <c r="N7" s="169"/>
      <c r="O7" s="91"/>
      <c r="P7" s="27"/>
      <c r="Q7" s="27">
        <v>6</v>
      </c>
      <c r="R7" s="16" t="s">
        <v>8</v>
      </c>
      <c r="S7" s="13">
        <f>G48</f>
        <v>24.75</v>
      </c>
    </row>
    <row r="8" spans="1:22" x14ac:dyDescent="0.2">
      <c r="A8" s="9"/>
      <c r="B8" s="25" t="s">
        <v>120</v>
      </c>
      <c r="C8" s="10" t="s">
        <v>121</v>
      </c>
      <c r="D8" s="7"/>
      <c r="E8" s="11">
        <f t="shared" si="0"/>
        <v>0</v>
      </c>
      <c r="F8" s="11">
        <f t="shared" si="1"/>
        <v>0</v>
      </c>
      <c r="G8" s="11"/>
      <c r="H8" s="11"/>
      <c r="I8" s="32"/>
      <c r="J8" s="32"/>
      <c r="K8" s="32"/>
      <c r="L8" s="29">
        <f t="shared" si="2"/>
        <v>0</v>
      </c>
      <c r="M8" s="29"/>
      <c r="N8" s="169"/>
      <c r="O8" s="91"/>
      <c r="P8" s="27"/>
      <c r="Q8" s="27">
        <v>6</v>
      </c>
      <c r="R8" s="16" t="s">
        <v>9</v>
      </c>
      <c r="S8" s="13">
        <f>H48</f>
        <v>59.25</v>
      </c>
    </row>
    <row r="9" spans="1:22" x14ac:dyDescent="0.2">
      <c r="A9" s="9"/>
      <c r="B9" s="25" t="s">
        <v>111</v>
      </c>
      <c r="C9" s="10" t="s">
        <v>122</v>
      </c>
      <c r="D9" s="7">
        <v>235</v>
      </c>
      <c r="E9" s="11">
        <f t="shared" si="0"/>
        <v>117.5</v>
      </c>
      <c r="F9" s="11">
        <f t="shared" si="1"/>
        <v>12</v>
      </c>
      <c r="G9" s="11">
        <v>0</v>
      </c>
      <c r="H9" s="11">
        <v>3.5</v>
      </c>
      <c r="I9" s="32">
        <v>34</v>
      </c>
      <c r="J9" s="32">
        <v>69</v>
      </c>
      <c r="K9" s="32">
        <v>0</v>
      </c>
      <c r="L9" s="29">
        <f t="shared" si="2"/>
        <v>30</v>
      </c>
      <c r="M9" s="29">
        <v>30</v>
      </c>
      <c r="N9" s="169"/>
      <c r="O9" s="91"/>
      <c r="P9" s="27"/>
      <c r="Q9" s="27">
        <v>0</v>
      </c>
      <c r="R9" s="16" t="s">
        <v>10</v>
      </c>
      <c r="S9" s="13">
        <f>I48</f>
        <v>1428.8200000000002</v>
      </c>
    </row>
    <row r="10" spans="1:22" x14ac:dyDescent="0.2">
      <c r="A10" s="9"/>
      <c r="B10" s="25" t="s">
        <v>52</v>
      </c>
      <c r="C10" s="10" t="s">
        <v>123</v>
      </c>
      <c r="D10" s="7"/>
      <c r="E10" s="11">
        <f t="shared" si="0"/>
        <v>0</v>
      </c>
      <c r="F10" s="11">
        <f t="shared" si="1"/>
        <v>0</v>
      </c>
      <c r="G10" s="11"/>
      <c r="H10" s="11"/>
      <c r="I10" s="32"/>
      <c r="J10" s="32"/>
      <c r="K10" s="32"/>
      <c r="L10" s="29">
        <f t="shared" si="2"/>
        <v>0</v>
      </c>
      <c r="M10" s="29"/>
      <c r="N10" s="169"/>
      <c r="O10" s="91"/>
      <c r="P10" s="27"/>
      <c r="Q10" s="27">
        <v>6</v>
      </c>
      <c r="R10" s="16" t="s">
        <v>11</v>
      </c>
      <c r="S10" s="13">
        <f>J48</f>
        <v>506.81</v>
      </c>
    </row>
    <row r="11" spans="1:22" x14ac:dyDescent="0.2">
      <c r="A11" s="9"/>
      <c r="B11" s="25" t="s">
        <v>97</v>
      </c>
      <c r="C11" s="10" t="s">
        <v>124</v>
      </c>
      <c r="D11" s="7">
        <v>224</v>
      </c>
      <c r="E11" s="11">
        <f t="shared" si="0"/>
        <v>112</v>
      </c>
      <c r="F11" s="11">
        <f t="shared" si="1"/>
        <v>12</v>
      </c>
      <c r="G11" s="11">
        <v>0</v>
      </c>
      <c r="H11" s="11">
        <v>0</v>
      </c>
      <c r="I11" s="32">
        <v>126</v>
      </c>
      <c r="J11" s="32">
        <v>0</v>
      </c>
      <c r="K11" s="32">
        <v>0</v>
      </c>
      <c r="L11" s="29">
        <f t="shared" si="2"/>
        <v>-2</v>
      </c>
      <c r="M11" s="29">
        <v>-2</v>
      </c>
      <c r="N11" s="169">
        <v>-2</v>
      </c>
      <c r="O11" s="91" t="s">
        <v>185</v>
      </c>
      <c r="P11" s="27"/>
      <c r="Q11" s="27">
        <v>6</v>
      </c>
      <c r="R11" s="16" t="s">
        <v>12</v>
      </c>
      <c r="S11" s="13">
        <f>K48</f>
        <v>0</v>
      </c>
    </row>
    <row r="12" spans="1:22" x14ac:dyDescent="0.2">
      <c r="A12" s="102"/>
      <c r="B12" s="25" t="s">
        <v>97</v>
      </c>
      <c r="C12" s="10" t="s">
        <v>125</v>
      </c>
      <c r="D12" s="7">
        <v>256</v>
      </c>
      <c r="E12" s="11">
        <f t="shared" si="0"/>
        <v>128</v>
      </c>
      <c r="F12" s="11">
        <f t="shared" si="1"/>
        <v>12</v>
      </c>
      <c r="G12" s="11">
        <v>5.5</v>
      </c>
      <c r="H12" s="11">
        <v>1.5</v>
      </c>
      <c r="I12" s="32">
        <v>148.46</v>
      </c>
      <c r="J12" s="32">
        <v>9.1999999999999993</v>
      </c>
      <c r="K12" s="32">
        <v>0</v>
      </c>
      <c r="L12" s="29">
        <f t="shared" si="2"/>
        <v>-10.660000000000007</v>
      </c>
      <c r="M12" s="29">
        <v>-11</v>
      </c>
      <c r="N12" s="170"/>
      <c r="O12" s="173"/>
      <c r="P12" s="27"/>
      <c r="Q12" s="27"/>
      <c r="R12" s="17" t="s">
        <v>37</v>
      </c>
      <c r="S12" s="14">
        <f>N48</f>
        <v>-3</v>
      </c>
    </row>
    <row r="13" spans="1:22" x14ac:dyDescent="0.2">
      <c r="A13" s="102"/>
      <c r="B13" s="25" t="s">
        <v>111</v>
      </c>
      <c r="C13" s="10" t="s">
        <v>126</v>
      </c>
      <c r="D13" s="7">
        <v>300</v>
      </c>
      <c r="E13" s="11">
        <f t="shared" si="0"/>
        <v>150</v>
      </c>
      <c r="F13" s="11">
        <f t="shared" si="1"/>
        <v>12</v>
      </c>
      <c r="G13" s="11">
        <v>0</v>
      </c>
      <c r="H13" s="11">
        <v>3.5</v>
      </c>
      <c r="I13" s="32">
        <v>177.12</v>
      </c>
      <c r="J13" s="32">
        <v>57.5</v>
      </c>
      <c r="K13" s="32">
        <v>0</v>
      </c>
      <c r="L13" s="29">
        <f t="shared" si="2"/>
        <v>-69.12</v>
      </c>
      <c r="M13" s="29">
        <v>-69</v>
      </c>
      <c r="N13" s="169"/>
      <c r="O13" s="91"/>
      <c r="P13" s="27"/>
      <c r="Q13" s="27">
        <v>0</v>
      </c>
      <c r="R13" s="18"/>
      <c r="S13" s="30">
        <f>S5+S6+S7-S9-S10-S11-S12</f>
        <v>-358.13000000000017</v>
      </c>
      <c r="T13" s="22"/>
    </row>
    <row r="14" spans="1:22" x14ac:dyDescent="0.2">
      <c r="A14" s="9"/>
      <c r="B14" s="25" t="s">
        <v>52</v>
      </c>
      <c r="C14" s="10" t="s">
        <v>53</v>
      </c>
      <c r="D14" s="7"/>
      <c r="E14" s="11">
        <f t="shared" si="0"/>
        <v>0</v>
      </c>
      <c r="F14" s="11">
        <f t="shared" si="1"/>
        <v>0</v>
      </c>
      <c r="G14" s="11"/>
      <c r="H14" s="11"/>
      <c r="I14" s="32"/>
      <c r="J14" s="32"/>
      <c r="K14" s="32"/>
      <c r="L14" s="29">
        <f t="shared" si="2"/>
        <v>0</v>
      </c>
      <c r="M14" s="29"/>
      <c r="N14" s="169"/>
      <c r="O14" s="91"/>
      <c r="P14" s="27"/>
      <c r="Q14" s="27">
        <v>6</v>
      </c>
      <c r="R14" s="19" t="s">
        <v>42</v>
      </c>
      <c r="S14" s="20">
        <f>M48</f>
        <v>-303</v>
      </c>
    </row>
    <row r="15" spans="1:22" x14ac:dyDescent="0.2">
      <c r="A15" s="9"/>
      <c r="B15" s="25" t="s">
        <v>47</v>
      </c>
      <c r="C15" s="10" t="s">
        <v>50</v>
      </c>
      <c r="D15" s="7"/>
      <c r="E15" s="11">
        <f t="shared" si="0"/>
        <v>0</v>
      </c>
      <c r="F15" s="11">
        <f t="shared" si="1"/>
        <v>0</v>
      </c>
      <c r="G15" s="11"/>
      <c r="H15" s="11"/>
      <c r="I15" s="32"/>
      <c r="J15" s="32"/>
      <c r="K15" s="32"/>
      <c r="L15" s="29">
        <f t="shared" si="2"/>
        <v>0</v>
      </c>
      <c r="M15" s="29"/>
      <c r="N15" s="169"/>
      <c r="O15" s="91"/>
      <c r="P15" s="27"/>
      <c r="Q15" s="27"/>
    </row>
    <row r="16" spans="1:22" x14ac:dyDescent="0.2">
      <c r="A16" s="9"/>
      <c r="B16" s="25" t="s">
        <v>77</v>
      </c>
      <c r="C16" s="10" t="s">
        <v>129</v>
      </c>
      <c r="D16" s="7"/>
      <c r="E16" s="11">
        <f t="shared" si="0"/>
        <v>0</v>
      </c>
      <c r="F16" s="11">
        <f t="shared" si="1"/>
        <v>0</v>
      </c>
      <c r="G16" s="11"/>
      <c r="H16" s="11"/>
      <c r="I16" s="32"/>
      <c r="J16" s="32"/>
      <c r="K16" s="32"/>
      <c r="L16" s="29">
        <f t="shared" si="2"/>
        <v>0</v>
      </c>
      <c r="M16" s="29"/>
      <c r="N16" s="169"/>
      <c r="O16" s="91"/>
      <c r="P16" s="27"/>
      <c r="Q16" s="27">
        <v>6</v>
      </c>
      <c r="R16" s="35"/>
      <c r="S16" s="35"/>
      <c r="T16" s="35"/>
      <c r="U16" s="35"/>
    </row>
    <row r="17" spans="1:21" x14ac:dyDescent="0.2">
      <c r="A17" s="9"/>
      <c r="B17" s="25" t="s">
        <v>31</v>
      </c>
      <c r="C17" s="10" t="s">
        <v>130</v>
      </c>
      <c r="D17" s="7"/>
      <c r="E17" s="11">
        <f t="shared" si="0"/>
        <v>0</v>
      </c>
      <c r="F17" s="11">
        <f t="shared" si="1"/>
        <v>0</v>
      </c>
      <c r="G17" s="11"/>
      <c r="H17" s="11"/>
      <c r="I17" s="32"/>
      <c r="J17" s="32"/>
      <c r="K17" s="32"/>
      <c r="L17" s="29">
        <f t="shared" si="2"/>
        <v>0</v>
      </c>
      <c r="M17" s="29"/>
      <c r="N17" s="169"/>
      <c r="O17" s="91"/>
      <c r="P17" s="27"/>
      <c r="Q17" s="27">
        <v>6</v>
      </c>
      <c r="R17" s="35"/>
      <c r="S17" s="35"/>
      <c r="T17" s="35"/>
      <c r="U17" s="35"/>
    </row>
    <row r="18" spans="1:21" x14ac:dyDescent="0.2">
      <c r="A18" s="9"/>
      <c r="B18" s="25" t="s">
        <v>47</v>
      </c>
      <c r="C18" s="10" t="s">
        <v>132</v>
      </c>
      <c r="D18" s="7"/>
      <c r="E18" s="11">
        <f t="shared" si="0"/>
        <v>0</v>
      </c>
      <c r="F18" s="11">
        <f t="shared" si="1"/>
        <v>0</v>
      </c>
      <c r="G18" s="11"/>
      <c r="H18" s="11"/>
      <c r="I18" s="32"/>
      <c r="J18" s="32"/>
      <c r="K18" s="32"/>
      <c r="L18" s="29">
        <f t="shared" si="2"/>
        <v>0</v>
      </c>
      <c r="M18" s="29"/>
      <c r="N18" s="169"/>
      <c r="O18" s="91"/>
      <c r="P18" s="27"/>
      <c r="Q18" s="27">
        <v>6</v>
      </c>
      <c r="R18" s="15" t="s">
        <v>51</v>
      </c>
      <c r="S18" s="95">
        <f t="array" ref="S18">SUMPRODUCT((VALUE(B4:B47)&lt;100)*(D4:D47&gt;0))</f>
        <v>10</v>
      </c>
      <c r="T18" s="35"/>
      <c r="U18" s="35"/>
    </row>
    <row r="19" spans="1:21" x14ac:dyDescent="0.2">
      <c r="A19" s="9"/>
      <c r="B19" s="25" t="s">
        <v>89</v>
      </c>
      <c r="C19" s="10" t="s">
        <v>133</v>
      </c>
      <c r="D19" s="7"/>
      <c r="E19" s="11">
        <f t="shared" si="0"/>
        <v>0</v>
      </c>
      <c r="F19" s="11">
        <f t="shared" si="1"/>
        <v>0</v>
      </c>
      <c r="G19" s="11"/>
      <c r="H19" s="11"/>
      <c r="I19" s="32"/>
      <c r="J19" s="32"/>
      <c r="K19" s="32"/>
      <c r="L19" s="29">
        <f t="shared" si="2"/>
        <v>0</v>
      </c>
      <c r="M19" s="29"/>
      <c r="N19" s="169"/>
      <c r="O19" s="91"/>
      <c r="P19" s="27"/>
      <c r="Q19" s="27">
        <v>6</v>
      </c>
      <c r="R19" s="16" t="s">
        <v>54</v>
      </c>
      <c r="S19" s="96">
        <f t="array" ref="S19">SUMPRODUCT((VALUE(B4:B47)&gt;100)*(D4:D47&gt;0))</f>
        <v>3</v>
      </c>
      <c r="T19" s="35"/>
      <c r="U19" s="35"/>
    </row>
    <row r="20" spans="1:21" x14ac:dyDescent="0.2">
      <c r="A20" s="9"/>
      <c r="B20" s="25" t="s">
        <v>134</v>
      </c>
      <c r="C20" s="10" t="s">
        <v>135</v>
      </c>
      <c r="D20" s="7">
        <v>276</v>
      </c>
      <c r="E20" s="11">
        <f t="shared" si="0"/>
        <v>138</v>
      </c>
      <c r="F20" s="11">
        <f t="shared" si="1"/>
        <v>12</v>
      </c>
      <c r="G20" s="11">
        <v>2.75</v>
      </c>
      <c r="H20" s="11">
        <v>4.25</v>
      </c>
      <c r="I20" s="32">
        <v>53.5</v>
      </c>
      <c r="J20" s="32">
        <v>103.12</v>
      </c>
      <c r="K20" s="32">
        <v>0</v>
      </c>
      <c r="L20" s="29">
        <f t="shared" si="2"/>
        <v>0.37999999999999545</v>
      </c>
      <c r="M20" s="29">
        <v>0</v>
      </c>
      <c r="N20" s="169"/>
      <c r="O20" s="91"/>
      <c r="P20" s="27"/>
      <c r="Q20" s="27">
        <v>6</v>
      </c>
      <c r="R20" s="17" t="s">
        <v>57</v>
      </c>
      <c r="S20" s="97">
        <f>S18+S19</f>
        <v>13</v>
      </c>
      <c r="T20" s="35"/>
      <c r="U20" s="35"/>
    </row>
    <row r="21" spans="1:21" x14ac:dyDescent="0.2">
      <c r="A21" s="9"/>
      <c r="B21" s="25" t="s">
        <v>186</v>
      </c>
      <c r="C21" s="10" t="s">
        <v>21</v>
      </c>
      <c r="D21" s="7"/>
      <c r="E21" s="11">
        <f t="shared" si="0"/>
        <v>0</v>
      </c>
      <c r="F21" s="11">
        <f t="shared" si="1"/>
        <v>0</v>
      </c>
      <c r="G21" s="11"/>
      <c r="H21" s="11"/>
      <c r="I21" s="32"/>
      <c r="J21" s="32"/>
      <c r="K21" s="32"/>
      <c r="L21" s="29">
        <f t="shared" si="2"/>
        <v>0</v>
      </c>
      <c r="M21" s="29"/>
      <c r="N21" s="169"/>
      <c r="O21" s="91"/>
      <c r="P21" s="27"/>
      <c r="Q21" s="27">
        <v>6</v>
      </c>
      <c r="R21" s="35"/>
      <c r="S21" s="35"/>
      <c r="T21" s="35"/>
      <c r="U21" s="35"/>
    </row>
    <row r="22" spans="1:21" x14ac:dyDescent="0.2">
      <c r="A22" s="9"/>
      <c r="B22" s="25" t="s">
        <v>63</v>
      </c>
      <c r="C22" s="10" t="s">
        <v>137</v>
      </c>
      <c r="D22" s="7">
        <v>126</v>
      </c>
      <c r="E22" s="11">
        <f t="shared" si="0"/>
        <v>63</v>
      </c>
      <c r="F22" s="11">
        <f t="shared" si="1"/>
        <v>6</v>
      </c>
      <c r="G22" s="11">
        <v>0</v>
      </c>
      <c r="H22" s="11">
        <v>7</v>
      </c>
      <c r="I22" s="32">
        <v>53.5</v>
      </c>
      <c r="J22" s="32">
        <v>0</v>
      </c>
      <c r="K22" s="32">
        <v>0</v>
      </c>
      <c r="L22" s="29">
        <f t="shared" si="2"/>
        <v>22.5</v>
      </c>
      <c r="M22" s="29">
        <v>22</v>
      </c>
      <c r="N22" s="169">
        <v>0</v>
      </c>
      <c r="O22" s="91"/>
      <c r="P22" s="27" t="s">
        <v>59</v>
      </c>
      <c r="Q22" s="27">
        <v>6</v>
      </c>
    </row>
    <row r="23" spans="1:21" x14ac:dyDescent="0.2">
      <c r="A23" s="9"/>
      <c r="B23" s="25" t="s">
        <v>77</v>
      </c>
      <c r="C23" s="10" t="s">
        <v>139</v>
      </c>
      <c r="D23" s="7">
        <v>353</v>
      </c>
      <c r="E23" s="11">
        <f t="shared" si="0"/>
        <v>176.5</v>
      </c>
      <c r="F23" s="11">
        <f t="shared" si="1"/>
        <v>12</v>
      </c>
      <c r="G23" s="11">
        <v>2.75</v>
      </c>
      <c r="H23" s="11">
        <v>14.75</v>
      </c>
      <c r="I23" s="32">
        <v>173.5</v>
      </c>
      <c r="J23" s="32">
        <v>0</v>
      </c>
      <c r="K23" s="32">
        <v>0</v>
      </c>
      <c r="L23" s="29">
        <f t="shared" si="2"/>
        <v>32.5</v>
      </c>
      <c r="M23" s="29">
        <v>32</v>
      </c>
      <c r="N23" s="169"/>
      <c r="O23" s="91"/>
      <c r="P23" s="98"/>
      <c r="Q23" s="98">
        <v>0</v>
      </c>
    </row>
    <row r="24" spans="1:21" x14ac:dyDescent="0.2">
      <c r="A24" s="9"/>
      <c r="B24" s="25" t="s">
        <v>111</v>
      </c>
      <c r="C24" s="10" t="s">
        <v>170</v>
      </c>
      <c r="D24" s="7"/>
      <c r="E24" s="11">
        <f t="shared" si="0"/>
        <v>0</v>
      </c>
      <c r="F24" s="11">
        <f t="shared" si="1"/>
        <v>0</v>
      </c>
      <c r="G24" s="11"/>
      <c r="H24" s="11"/>
      <c r="I24" s="32"/>
      <c r="J24" s="32"/>
      <c r="K24" s="32"/>
      <c r="L24" s="29">
        <f t="shared" si="2"/>
        <v>0</v>
      </c>
      <c r="M24" s="29"/>
      <c r="N24" s="169"/>
      <c r="O24" s="91"/>
      <c r="P24" s="27"/>
      <c r="Q24" s="27"/>
    </row>
    <row r="25" spans="1:21" x14ac:dyDescent="0.2">
      <c r="A25" s="9"/>
      <c r="B25" s="25" t="s">
        <v>27</v>
      </c>
      <c r="C25" s="10" t="s">
        <v>141</v>
      </c>
      <c r="D25" s="7">
        <v>280</v>
      </c>
      <c r="E25" s="11">
        <f t="shared" si="0"/>
        <v>140</v>
      </c>
      <c r="F25" s="11">
        <f t="shared" si="1"/>
        <v>12</v>
      </c>
      <c r="G25" s="11">
        <v>0</v>
      </c>
      <c r="H25" s="11">
        <v>7</v>
      </c>
      <c r="I25" s="32">
        <v>53.5</v>
      </c>
      <c r="J25" s="32">
        <v>181.13</v>
      </c>
      <c r="K25" s="32">
        <v>0</v>
      </c>
      <c r="L25" s="29">
        <f t="shared" si="2"/>
        <v>-75.63</v>
      </c>
      <c r="M25" s="29">
        <v>-76</v>
      </c>
      <c r="N25" s="169"/>
      <c r="O25" s="91"/>
      <c r="P25" s="27"/>
      <c r="Q25" s="27">
        <v>6</v>
      </c>
    </row>
    <row r="26" spans="1:21" x14ac:dyDescent="0.2">
      <c r="A26" s="9"/>
      <c r="B26" s="25" t="s">
        <v>31</v>
      </c>
      <c r="C26" s="10" t="s">
        <v>140</v>
      </c>
      <c r="D26" s="7"/>
      <c r="E26" s="11">
        <f t="shared" si="0"/>
        <v>0</v>
      </c>
      <c r="F26" s="11">
        <f t="shared" si="1"/>
        <v>0</v>
      </c>
      <c r="G26" s="11"/>
      <c r="H26" s="11"/>
      <c r="I26" s="32"/>
      <c r="J26" s="32"/>
      <c r="K26" s="32"/>
      <c r="L26" s="29">
        <f t="shared" si="2"/>
        <v>0</v>
      </c>
      <c r="M26" s="29"/>
      <c r="N26" s="169"/>
      <c r="O26" s="91"/>
      <c r="P26" s="27" t="s">
        <v>59</v>
      </c>
      <c r="Q26" s="168">
        <v>0</v>
      </c>
    </row>
    <row r="27" spans="1:21" x14ac:dyDescent="0.2">
      <c r="A27" s="9"/>
      <c r="B27" s="25" t="s">
        <v>145</v>
      </c>
      <c r="C27" s="10" t="s">
        <v>146</v>
      </c>
      <c r="D27" s="7"/>
      <c r="E27" s="11">
        <f t="shared" si="0"/>
        <v>0</v>
      </c>
      <c r="F27" s="11">
        <f t="shared" si="1"/>
        <v>0</v>
      </c>
      <c r="G27" s="11"/>
      <c r="H27" s="11"/>
      <c r="I27" s="32"/>
      <c r="J27" s="32"/>
      <c r="K27" s="32"/>
      <c r="L27" s="29">
        <f t="shared" si="2"/>
        <v>0</v>
      </c>
      <c r="M27" s="29"/>
      <c r="N27" s="169"/>
      <c r="O27" s="91"/>
      <c r="R27" s="212"/>
      <c r="S27" s="213"/>
    </row>
    <row r="28" spans="1:21" x14ac:dyDescent="0.2">
      <c r="A28" s="9"/>
      <c r="B28" s="25" t="s">
        <v>131</v>
      </c>
      <c r="C28" s="10" t="s">
        <v>149</v>
      </c>
      <c r="D28" s="7">
        <v>211</v>
      </c>
      <c r="E28" s="11">
        <f t="shared" si="0"/>
        <v>105.5</v>
      </c>
      <c r="F28" s="11">
        <f t="shared" si="1"/>
        <v>12</v>
      </c>
      <c r="G28" s="11">
        <v>2.75</v>
      </c>
      <c r="H28" s="11">
        <v>4.25</v>
      </c>
      <c r="I28" s="32">
        <v>104.96</v>
      </c>
      <c r="J28" s="32">
        <v>0</v>
      </c>
      <c r="K28" s="32">
        <v>0</v>
      </c>
      <c r="L28" s="29">
        <f t="shared" si="2"/>
        <v>19.540000000000006</v>
      </c>
      <c r="M28" s="29">
        <v>20</v>
      </c>
      <c r="N28" s="169"/>
      <c r="O28" s="91"/>
      <c r="P28" s="27"/>
      <c r="Q28" s="27">
        <v>0</v>
      </c>
      <c r="S28" s="22"/>
      <c r="T28" s="27">
        <v>1</v>
      </c>
    </row>
    <row r="29" spans="1:21" x14ac:dyDescent="0.2">
      <c r="A29" s="9"/>
      <c r="B29" s="25" t="s">
        <v>142</v>
      </c>
      <c r="C29" s="10" t="s">
        <v>143</v>
      </c>
      <c r="D29" s="7">
        <v>176</v>
      </c>
      <c r="E29" s="11">
        <f t="shared" si="0"/>
        <v>44</v>
      </c>
      <c r="F29" s="11">
        <f t="shared" si="1"/>
        <v>2</v>
      </c>
      <c r="G29" s="11">
        <v>0</v>
      </c>
      <c r="H29" s="11">
        <v>0</v>
      </c>
      <c r="I29" s="32">
        <v>71.400000000000006</v>
      </c>
      <c r="J29" s="32">
        <v>0</v>
      </c>
      <c r="K29" s="32">
        <v>0</v>
      </c>
      <c r="L29" s="29">
        <f t="shared" si="2"/>
        <v>-25.400000000000006</v>
      </c>
      <c r="M29" s="29">
        <v>-25</v>
      </c>
      <c r="N29" s="169"/>
      <c r="O29" s="91"/>
      <c r="S29" s="22"/>
      <c r="T29" s="27"/>
    </row>
    <row r="30" spans="1:21" x14ac:dyDescent="0.2">
      <c r="A30" s="9"/>
      <c r="B30" s="25" t="s">
        <v>55</v>
      </c>
      <c r="C30" s="10" t="s">
        <v>148</v>
      </c>
      <c r="D30" s="7"/>
      <c r="E30" s="11">
        <f t="shared" si="0"/>
        <v>0</v>
      </c>
      <c r="F30" s="11">
        <f t="shared" si="1"/>
        <v>0</v>
      </c>
      <c r="G30" s="11"/>
      <c r="H30" s="11"/>
      <c r="I30" s="32"/>
      <c r="J30" s="32"/>
      <c r="K30" s="32"/>
      <c r="L30" s="29">
        <f t="shared" si="2"/>
        <v>0</v>
      </c>
      <c r="M30" s="29"/>
      <c r="N30" s="169"/>
      <c r="O30" s="91"/>
      <c r="P30" s="168"/>
      <c r="Q30" s="168">
        <v>6</v>
      </c>
      <c r="S30" s="22"/>
    </row>
    <row r="31" spans="1:21" x14ac:dyDescent="0.2">
      <c r="A31" s="9"/>
      <c r="B31" s="25" t="s">
        <v>187</v>
      </c>
      <c r="C31" s="10" t="s">
        <v>188</v>
      </c>
      <c r="D31" s="7"/>
      <c r="E31" s="11">
        <f t="shared" si="0"/>
        <v>0</v>
      </c>
      <c r="F31" s="11">
        <f t="shared" si="1"/>
        <v>0</v>
      </c>
      <c r="G31" s="11"/>
      <c r="H31" s="11"/>
      <c r="I31" s="32"/>
      <c r="J31" s="32"/>
      <c r="K31" s="32"/>
      <c r="L31" s="29">
        <f t="shared" si="2"/>
        <v>0</v>
      </c>
      <c r="M31" s="29"/>
      <c r="N31" s="169"/>
      <c r="O31" s="91"/>
      <c r="R31" s="18"/>
      <c r="S31" s="3"/>
    </row>
    <row r="32" spans="1:21" x14ac:dyDescent="0.2">
      <c r="A32" s="9"/>
      <c r="B32" s="25" t="s">
        <v>43</v>
      </c>
      <c r="C32" s="10" t="s">
        <v>164</v>
      </c>
      <c r="D32" s="7"/>
      <c r="E32" s="11">
        <f t="shared" si="0"/>
        <v>0</v>
      </c>
      <c r="F32" s="11">
        <f t="shared" si="1"/>
        <v>0</v>
      </c>
      <c r="G32" s="11"/>
      <c r="H32" s="11"/>
      <c r="I32" s="32"/>
      <c r="J32" s="32"/>
      <c r="K32" s="32"/>
      <c r="L32" s="29">
        <f t="shared" si="2"/>
        <v>0</v>
      </c>
      <c r="M32" s="29"/>
      <c r="N32" s="169"/>
      <c r="O32" s="91"/>
    </row>
    <row r="33" spans="1:19" x14ac:dyDescent="0.2">
      <c r="A33" s="9"/>
      <c r="B33" s="25" t="s">
        <v>152</v>
      </c>
      <c r="C33" s="10" t="s">
        <v>153</v>
      </c>
      <c r="D33" s="7">
        <v>309</v>
      </c>
      <c r="E33" s="11">
        <f t="shared" si="0"/>
        <v>77.25</v>
      </c>
      <c r="F33" s="11">
        <f t="shared" si="1"/>
        <v>2</v>
      </c>
      <c r="G33" s="11">
        <v>2.75</v>
      </c>
      <c r="H33" s="11">
        <v>4.25</v>
      </c>
      <c r="I33" s="32">
        <v>159.96</v>
      </c>
      <c r="J33" s="32">
        <v>23</v>
      </c>
      <c r="K33" s="32">
        <v>0</v>
      </c>
      <c r="L33" s="29">
        <f t="shared" si="2"/>
        <v>-96.710000000000008</v>
      </c>
      <c r="M33" s="29">
        <v>-97</v>
      </c>
      <c r="N33" s="169"/>
      <c r="O33" s="91"/>
    </row>
    <row r="34" spans="1:19" x14ac:dyDescent="0.2">
      <c r="A34" s="9"/>
      <c r="B34" s="25" t="s">
        <v>165</v>
      </c>
      <c r="C34" s="10" t="s">
        <v>166</v>
      </c>
      <c r="D34" s="7"/>
      <c r="E34" s="11">
        <f t="shared" si="0"/>
        <v>0</v>
      </c>
      <c r="F34" s="11">
        <f t="shared" si="1"/>
        <v>0</v>
      </c>
      <c r="G34" s="11"/>
      <c r="H34" s="11"/>
      <c r="I34" s="32"/>
      <c r="J34" s="32"/>
      <c r="K34" s="32"/>
      <c r="L34" s="29">
        <f t="shared" si="2"/>
        <v>0</v>
      </c>
      <c r="M34" s="29"/>
      <c r="N34" s="169"/>
      <c r="O34" s="91"/>
      <c r="R34" s="18"/>
      <c r="S34" s="1"/>
    </row>
    <row r="35" spans="1:19" x14ac:dyDescent="0.2">
      <c r="A35" s="9"/>
      <c r="B35" s="25" t="s">
        <v>25</v>
      </c>
      <c r="C35" s="10" t="s">
        <v>26</v>
      </c>
      <c r="D35" s="7"/>
      <c r="E35" s="11">
        <f t="shared" si="0"/>
        <v>0</v>
      </c>
      <c r="F35" s="11">
        <f t="shared" si="1"/>
        <v>0</v>
      </c>
      <c r="G35" s="11"/>
      <c r="H35" s="11"/>
      <c r="I35" s="32"/>
      <c r="J35" s="32"/>
      <c r="K35" s="32"/>
      <c r="L35" s="29">
        <f t="shared" si="2"/>
        <v>0</v>
      </c>
      <c r="M35" s="29"/>
      <c r="N35" s="169"/>
      <c r="O35" s="91"/>
      <c r="R35" s="18"/>
      <c r="S35" s="1"/>
    </row>
    <row r="36" spans="1:19" x14ac:dyDescent="0.2">
      <c r="A36" s="9"/>
      <c r="B36" s="25" t="s">
        <v>97</v>
      </c>
      <c r="C36" s="10" t="s">
        <v>100</v>
      </c>
      <c r="D36" s="7"/>
      <c r="E36" s="11">
        <f t="shared" si="0"/>
        <v>0</v>
      </c>
      <c r="F36" s="11">
        <f t="shared" si="1"/>
        <v>0</v>
      </c>
      <c r="G36" s="11"/>
      <c r="H36" s="11"/>
      <c r="I36" s="32"/>
      <c r="J36" s="32"/>
      <c r="K36" s="32"/>
      <c r="L36" s="29">
        <f t="shared" si="2"/>
        <v>0</v>
      </c>
      <c r="M36" s="29"/>
      <c r="N36" s="169"/>
      <c r="O36" s="91"/>
      <c r="R36" s="18"/>
      <c r="S36" s="1"/>
    </row>
    <row r="37" spans="1:19" x14ac:dyDescent="0.2">
      <c r="A37" s="102"/>
      <c r="B37" s="25"/>
      <c r="C37" s="10"/>
      <c r="D37" s="7"/>
      <c r="E37" s="11">
        <f t="shared" si="0"/>
        <v>0</v>
      </c>
      <c r="F37" s="11">
        <f t="shared" si="1"/>
        <v>0</v>
      </c>
      <c r="G37" s="11"/>
      <c r="H37" s="11"/>
      <c r="I37" s="32"/>
      <c r="J37" s="32"/>
      <c r="K37" s="32"/>
      <c r="L37" s="29">
        <f t="shared" si="2"/>
        <v>0</v>
      </c>
      <c r="M37" s="29"/>
      <c r="N37" s="169"/>
      <c r="O37" s="91"/>
    </row>
    <row r="38" spans="1:19" x14ac:dyDescent="0.2">
      <c r="A38" s="9"/>
      <c r="B38" s="25"/>
      <c r="C38" s="10"/>
      <c r="D38" s="7"/>
      <c r="E38" s="11">
        <f t="shared" si="0"/>
        <v>0</v>
      </c>
      <c r="F38" s="11">
        <f t="shared" si="1"/>
        <v>0</v>
      </c>
      <c r="G38" s="11"/>
      <c r="H38" s="11"/>
      <c r="I38" s="32"/>
      <c r="J38" s="32"/>
      <c r="K38" s="32"/>
      <c r="L38" s="29">
        <f t="shared" si="2"/>
        <v>0</v>
      </c>
      <c r="M38" s="29"/>
      <c r="N38" s="169"/>
      <c r="O38" s="91"/>
    </row>
    <row r="39" spans="1:19" x14ac:dyDescent="0.2">
      <c r="A39" s="9"/>
      <c r="B39" s="25"/>
      <c r="C39" s="10"/>
      <c r="D39" s="7"/>
      <c r="E39" s="11">
        <f t="shared" si="0"/>
        <v>0</v>
      </c>
      <c r="F39" s="11">
        <f t="shared" si="1"/>
        <v>0</v>
      </c>
      <c r="G39" s="11"/>
      <c r="H39" s="11"/>
      <c r="I39" s="32"/>
      <c r="J39" s="32"/>
      <c r="K39" s="32"/>
      <c r="L39" s="29">
        <f t="shared" si="2"/>
        <v>0</v>
      </c>
      <c r="M39" s="29"/>
      <c r="N39" s="169"/>
      <c r="O39" s="91"/>
    </row>
    <row r="40" spans="1:19" x14ac:dyDescent="0.2">
      <c r="A40" s="9"/>
      <c r="B40" s="25"/>
      <c r="C40" s="10"/>
      <c r="D40" s="7"/>
      <c r="E40" s="11">
        <f t="shared" si="0"/>
        <v>0</v>
      </c>
      <c r="F40" s="11">
        <f t="shared" si="1"/>
        <v>0</v>
      </c>
      <c r="G40" s="11"/>
      <c r="H40" s="11"/>
      <c r="I40" s="32"/>
      <c r="J40" s="32"/>
      <c r="K40" s="32"/>
      <c r="L40" s="29">
        <f t="shared" si="2"/>
        <v>0</v>
      </c>
      <c r="M40" s="29"/>
      <c r="N40" s="169"/>
      <c r="O40" s="91"/>
    </row>
    <row r="41" spans="1:19" x14ac:dyDescent="0.2">
      <c r="A41" s="9"/>
      <c r="B41" s="25"/>
      <c r="C41" s="10"/>
      <c r="D41" s="8"/>
      <c r="E41" s="11">
        <f t="shared" si="0"/>
        <v>0</v>
      </c>
      <c r="F41" s="11">
        <f t="shared" si="1"/>
        <v>0</v>
      </c>
      <c r="G41" s="11"/>
      <c r="H41" s="11"/>
      <c r="I41" s="33"/>
      <c r="J41" s="33"/>
      <c r="K41" s="33"/>
      <c r="L41" s="29">
        <f t="shared" si="2"/>
        <v>0</v>
      </c>
      <c r="M41" s="29"/>
      <c r="N41" s="171"/>
      <c r="O41" s="25"/>
    </row>
    <row r="42" spans="1:19" x14ac:dyDescent="0.2">
      <c r="A42" s="102"/>
      <c r="B42" s="25"/>
      <c r="C42" s="10"/>
      <c r="D42" s="7"/>
      <c r="E42" s="11">
        <f t="shared" si="0"/>
        <v>0</v>
      </c>
      <c r="F42" s="11">
        <f t="shared" si="1"/>
        <v>0</v>
      </c>
      <c r="G42" s="11"/>
      <c r="H42" s="11"/>
      <c r="I42" s="32"/>
      <c r="J42" s="32"/>
      <c r="K42" s="32"/>
      <c r="L42" s="29">
        <f t="shared" si="2"/>
        <v>0</v>
      </c>
      <c r="M42" s="29"/>
      <c r="N42" s="169"/>
      <c r="O42" s="91"/>
    </row>
    <row r="43" spans="1:19" x14ac:dyDescent="0.2">
      <c r="A43" s="9"/>
      <c r="B43" s="25"/>
      <c r="C43" s="10"/>
      <c r="D43" s="7"/>
      <c r="E43" s="11">
        <f t="shared" si="0"/>
        <v>0</v>
      </c>
      <c r="F43" s="11">
        <f t="shared" si="1"/>
        <v>0</v>
      </c>
      <c r="G43" s="11"/>
      <c r="H43" s="11"/>
      <c r="I43" s="32"/>
      <c r="J43" s="32"/>
      <c r="K43" s="32"/>
      <c r="L43" s="29">
        <f t="shared" si="2"/>
        <v>0</v>
      </c>
      <c r="M43" s="29"/>
      <c r="N43" s="169"/>
      <c r="O43" s="91"/>
    </row>
    <row r="44" spans="1:19" x14ac:dyDescent="0.2">
      <c r="A44" s="9"/>
      <c r="B44" s="25"/>
      <c r="C44" s="10"/>
      <c r="D44" s="7"/>
      <c r="E44" s="11">
        <f t="shared" si="0"/>
        <v>0</v>
      </c>
      <c r="F44" s="11">
        <f t="shared" si="1"/>
        <v>0</v>
      </c>
      <c r="G44" s="11"/>
      <c r="H44" s="11"/>
      <c r="I44" s="32"/>
      <c r="J44" s="32"/>
      <c r="K44" s="32"/>
      <c r="L44" s="29">
        <f t="shared" si="2"/>
        <v>0</v>
      </c>
      <c r="M44" s="29"/>
      <c r="N44" s="169"/>
      <c r="O44" s="91"/>
    </row>
    <row r="45" spans="1:19" x14ac:dyDescent="0.2">
      <c r="A45" s="9"/>
      <c r="B45" s="103"/>
      <c r="C45" s="10"/>
      <c r="D45" s="7"/>
      <c r="E45" s="11">
        <f t="shared" si="0"/>
        <v>0</v>
      </c>
      <c r="F45" s="11">
        <f t="shared" si="1"/>
        <v>0</v>
      </c>
      <c r="G45" s="11"/>
      <c r="H45" s="11"/>
      <c r="I45" s="32"/>
      <c r="J45" s="32"/>
      <c r="K45" s="32"/>
      <c r="L45" s="29">
        <f t="shared" si="2"/>
        <v>0</v>
      </c>
      <c r="M45" s="29"/>
      <c r="N45" s="169"/>
      <c r="O45" s="91"/>
    </row>
    <row r="46" spans="1:19" x14ac:dyDescent="0.2">
      <c r="A46" s="9"/>
      <c r="B46" s="25"/>
      <c r="C46" s="10"/>
      <c r="D46" s="7"/>
      <c r="E46" s="11">
        <f t="shared" si="0"/>
        <v>0</v>
      </c>
      <c r="F46" s="11">
        <f t="shared" si="1"/>
        <v>0</v>
      </c>
      <c r="G46" s="11"/>
      <c r="H46" s="11"/>
      <c r="I46" s="32"/>
      <c r="J46" s="32"/>
      <c r="K46" s="32"/>
      <c r="L46" s="29">
        <f t="shared" si="2"/>
        <v>0</v>
      </c>
      <c r="M46" s="29"/>
      <c r="N46" s="169"/>
      <c r="O46" s="91"/>
    </row>
    <row r="47" spans="1:19" x14ac:dyDescent="0.2">
      <c r="A47" s="9"/>
      <c r="B47" s="25"/>
      <c r="C47" s="10"/>
      <c r="D47" s="7"/>
      <c r="E47" s="11">
        <f t="shared" si="0"/>
        <v>0</v>
      </c>
      <c r="F47" s="11">
        <f t="shared" si="1"/>
        <v>0</v>
      </c>
      <c r="G47" s="11"/>
      <c r="H47" s="11"/>
      <c r="I47" s="32"/>
      <c r="J47" s="32"/>
      <c r="K47" s="32"/>
      <c r="L47" s="29">
        <f t="shared" si="2"/>
        <v>0</v>
      </c>
      <c r="M47" s="29"/>
      <c r="N47" s="169"/>
      <c r="O47" s="91"/>
    </row>
    <row r="48" spans="1:19" x14ac:dyDescent="0.2">
      <c r="D48" s="3">
        <f t="shared" ref="D48:N48" si="3">SUM(D4:D47)</f>
        <v>3148</v>
      </c>
      <c r="E48" s="21">
        <f t="shared" si="3"/>
        <v>1429.75</v>
      </c>
      <c r="F48" s="3">
        <f t="shared" si="3"/>
        <v>120</v>
      </c>
      <c r="G48" s="3">
        <f t="shared" si="3"/>
        <v>24.75</v>
      </c>
      <c r="H48" s="3">
        <f t="shared" si="3"/>
        <v>59.25</v>
      </c>
      <c r="I48" s="3">
        <f t="shared" si="3"/>
        <v>1428.8200000000002</v>
      </c>
      <c r="J48" s="3">
        <f t="shared" si="3"/>
        <v>506.81</v>
      </c>
      <c r="K48" s="3">
        <f t="shared" si="3"/>
        <v>0</v>
      </c>
      <c r="L48" s="3">
        <f t="shared" si="3"/>
        <v>-301.88</v>
      </c>
      <c r="M48" s="3">
        <f t="shared" si="3"/>
        <v>-303</v>
      </c>
      <c r="N48" s="3">
        <f t="shared" si="3"/>
        <v>-3</v>
      </c>
      <c r="O48" s="174"/>
    </row>
  </sheetData>
  <mergeCells count="1">
    <mergeCell ref="R27:S27"/>
  </mergeCells>
  <conditionalFormatting sqref="C4:C32">
    <cfRule type="expression" dxfId="28" priority="1">
      <formula>$M4&lt;0</formula>
    </cfRule>
  </conditionalFormatting>
  <conditionalFormatting sqref="C33">
    <cfRule type="expression" dxfId="27" priority="3">
      <formula>#REF!&lt;0</formula>
    </cfRule>
  </conditionalFormatting>
  <conditionalFormatting sqref="C34:C47">
    <cfRule type="expression" dxfId="26" priority="2">
      <formula>$M34&lt;0</formula>
    </cfRule>
  </conditionalFormatting>
  <conditionalFormatting sqref="M4:M47">
    <cfRule type="cellIs" dxfId="25" priority="26" operator="lessThan">
      <formula>0</formula>
    </cfRule>
  </conditionalFormatting>
  <pageMargins left="0.7" right="0.7" top="0.75" bottom="0.75" header="0.3" footer="0.3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V53"/>
  <sheetViews>
    <sheetView showGridLines="0" tabSelected="1" workbookViewId="0">
      <selection activeCell="N10" sqref="N10"/>
    </sheetView>
  </sheetViews>
  <sheetFormatPr baseColWidth="10" defaultColWidth="8.83203125" defaultRowHeight="15" x14ac:dyDescent="0.2"/>
  <cols>
    <col min="1" max="1" width="6.5" style="1" customWidth="1"/>
    <col min="2" max="2" width="12.1640625" style="26" customWidth="1"/>
    <col min="3" max="3" width="18.5" style="1" bestFit="1" customWidth="1"/>
    <col min="4" max="13" width="12.1640625" customWidth="1"/>
    <col min="14" max="14" width="13.5" customWidth="1"/>
    <col min="15" max="15" width="14.6640625" customWidth="1"/>
    <col min="16" max="17" width="6" style="1" customWidth="1"/>
    <col min="18" max="18" width="12.5" bestFit="1" customWidth="1"/>
    <col min="19" max="19" width="10.5" customWidth="1"/>
  </cols>
  <sheetData>
    <row r="1" spans="1:22" x14ac:dyDescent="0.2">
      <c r="A1" s="4" t="s">
        <v>0</v>
      </c>
      <c r="B1" s="108">
        <f>'Mon AM'!B1+5</f>
        <v>46123</v>
      </c>
      <c r="C1" s="208"/>
      <c r="D1" s="4" t="s">
        <v>1</v>
      </c>
      <c r="E1" s="6" t="s">
        <v>2</v>
      </c>
    </row>
    <row r="3" spans="1:22" x14ac:dyDescent="0.2">
      <c r="A3" s="4"/>
      <c r="B3" s="23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101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28" t="s">
        <v>16</v>
      </c>
      <c r="P3" s="27"/>
      <c r="Q3" s="27"/>
    </row>
    <row r="4" spans="1:22" x14ac:dyDescent="0.2">
      <c r="A4" s="10"/>
      <c r="B4" s="24" t="s">
        <v>17</v>
      </c>
      <c r="C4" s="10" t="s">
        <v>18</v>
      </c>
      <c r="D4" s="11"/>
      <c r="E4" s="11">
        <f t="shared" ref="E4:E47" si="0">IF(AND(VALUE(B4)&lt;100, D4&gt;0),D4*0.5,D4*0.25)</f>
        <v>0</v>
      </c>
      <c r="F4" s="11">
        <f t="shared" ref="F4:F47" si="1">IF(P4="C",Q4,IF(AND(VALUE(B4)&lt;100, D4&gt;0),12,IF(D4&gt;0,2,0)))</f>
        <v>0</v>
      </c>
      <c r="G4" s="11"/>
      <c r="H4" s="11"/>
      <c r="I4" s="31"/>
      <c r="J4" s="31"/>
      <c r="K4" s="31"/>
      <c r="L4" s="29">
        <f t="shared" ref="L4:L47" si="2">(E4+F4+G4+H4)-I4-J4-K4</f>
        <v>0</v>
      </c>
      <c r="M4" s="29"/>
      <c r="N4" s="169"/>
      <c r="O4" s="172"/>
      <c r="P4" s="27"/>
      <c r="Q4" s="27">
        <v>6</v>
      </c>
      <c r="R4" s="15" t="s">
        <v>19</v>
      </c>
      <c r="S4" s="12">
        <f>D48</f>
        <v>0</v>
      </c>
      <c r="U4" s="36"/>
      <c r="V4" s="1"/>
    </row>
    <row r="5" spans="1:22" x14ac:dyDescent="0.2">
      <c r="A5" s="9"/>
      <c r="B5" s="25" t="s">
        <v>20</v>
      </c>
      <c r="C5" s="10" t="s">
        <v>21</v>
      </c>
      <c r="D5" s="7"/>
      <c r="E5" s="11">
        <f t="shared" si="0"/>
        <v>0</v>
      </c>
      <c r="F5" s="11">
        <f t="shared" si="1"/>
        <v>0</v>
      </c>
      <c r="G5" s="11"/>
      <c r="H5" s="11"/>
      <c r="I5" s="32"/>
      <c r="J5" s="32"/>
      <c r="K5" s="32"/>
      <c r="L5" s="29">
        <f t="shared" si="2"/>
        <v>0</v>
      </c>
      <c r="M5" s="29"/>
      <c r="N5" s="169"/>
      <c r="O5" s="91"/>
      <c r="P5" s="27"/>
      <c r="Q5" s="27"/>
      <c r="R5" s="16" t="s">
        <v>22</v>
      </c>
      <c r="S5" s="13">
        <f>E48</f>
        <v>0</v>
      </c>
      <c r="U5" s="1"/>
      <c r="V5" s="1"/>
    </row>
    <row r="6" spans="1:22" x14ac:dyDescent="0.2">
      <c r="A6" s="9"/>
      <c r="B6" s="25" t="s">
        <v>23</v>
      </c>
      <c r="C6" s="10" t="s">
        <v>24</v>
      </c>
      <c r="D6" s="7"/>
      <c r="E6" s="11">
        <f t="shared" si="0"/>
        <v>0</v>
      </c>
      <c r="F6" s="11">
        <f t="shared" si="1"/>
        <v>0</v>
      </c>
      <c r="G6" s="11"/>
      <c r="H6" s="11"/>
      <c r="I6" s="32"/>
      <c r="J6" s="32"/>
      <c r="K6" s="32"/>
      <c r="L6" s="29">
        <f t="shared" si="2"/>
        <v>0</v>
      </c>
      <c r="M6" s="29"/>
      <c r="N6" s="169"/>
      <c r="O6" s="91"/>
      <c r="P6" s="27"/>
      <c r="Q6" s="27">
        <v>6</v>
      </c>
      <c r="R6" s="16" t="s">
        <v>7</v>
      </c>
      <c r="S6" s="13">
        <f>F48</f>
        <v>0</v>
      </c>
      <c r="U6" s="22"/>
    </row>
    <row r="7" spans="1:22" x14ac:dyDescent="0.2">
      <c r="A7" s="9"/>
      <c r="B7" s="25" t="s">
        <v>25</v>
      </c>
      <c r="C7" s="10" t="s">
        <v>26</v>
      </c>
      <c r="D7" s="7"/>
      <c r="E7" s="11">
        <f t="shared" si="0"/>
        <v>0</v>
      </c>
      <c r="F7" s="11">
        <f t="shared" si="1"/>
        <v>0</v>
      </c>
      <c r="G7" s="11"/>
      <c r="H7" s="11"/>
      <c r="I7" s="32"/>
      <c r="J7" s="32"/>
      <c r="K7" s="32"/>
      <c r="L7" s="29">
        <f t="shared" si="2"/>
        <v>0</v>
      </c>
      <c r="M7" s="29"/>
      <c r="N7" s="169"/>
      <c r="O7" s="91"/>
      <c r="P7" s="27"/>
      <c r="Q7" s="27">
        <v>6</v>
      </c>
      <c r="R7" s="16" t="s">
        <v>8</v>
      </c>
      <c r="S7" s="13">
        <f>G48</f>
        <v>0</v>
      </c>
      <c r="U7" s="22"/>
    </row>
    <row r="8" spans="1:22" x14ac:dyDescent="0.2">
      <c r="A8" s="9"/>
      <c r="B8" s="25" t="s">
        <v>27</v>
      </c>
      <c r="C8" s="10" t="s">
        <v>28</v>
      </c>
      <c r="D8" s="7"/>
      <c r="E8" s="11">
        <f t="shared" si="0"/>
        <v>0</v>
      </c>
      <c r="F8" s="11">
        <f t="shared" si="1"/>
        <v>0</v>
      </c>
      <c r="G8" s="11"/>
      <c r="H8" s="11"/>
      <c r="I8" s="32"/>
      <c r="J8" s="32"/>
      <c r="K8" s="32"/>
      <c r="L8" s="29">
        <f t="shared" si="2"/>
        <v>0</v>
      </c>
      <c r="M8" s="29"/>
      <c r="N8" s="169"/>
      <c r="O8" s="91"/>
      <c r="P8" s="27"/>
      <c r="Q8" s="27">
        <v>6</v>
      </c>
      <c r="R8" s="16" t="s">
        <v>9</v>
      </c>
      <c r="S8" s="13">
        <f>H48</f>
        <v>0</v>
      </c>
      <c r="U8" s="22"/>
    </row>
    <row r="9" spans="1:22" x14ac:dyDescent="0.2">
      <c r="A9" s="9"/>
      <c r="B9" s="25" t="s">
        <v>35</v>
      </c>
      <c r="C9" s="10" t="s">
        <v>36</v>
      </c>
      <c r="D9" s="7"/>
      <c r="E9" s="11">
        <f t="shared" si="0"/>
        <v>0</v>
      </c>
      <c r="F9" s="11">
        <f t="shared" si="1"/>
        <v>0</v>
      </c>
      <c r="G9" s="11"/>
      <c r="H9" s="11"/>
      <c r="I9" s="32"/>
      <c r="J9" s="32"/>
      <c r="K9" s="32"/>
      <c r="L9" s="29">
        <f t="shared" si="2"/>
        <v>0</v>
      </c>
      <c r="M9" s="29"/>
      <c r="N9" s="169"/>
      <c r="O9" s="91"/>
      <c r="P9" s="27"/>
      <c r="Q9" s="27">
        <v>6</v>
      </c>
      <c r="R9" s="16" t="s">
        <v>10</v>
      </c>
      <c r="S9" s="13">
        <f>I48</f>
        <v>0</v>
      </c>
      <c r="U9" s="22"/>
    </row>
    <row r="10" spans="1:22" x14ac:dyDescent="0.2">
      <c r="A10" s="9"/>
      <c r="B10" s="25" t="s">
        <v>104</v>
      </c>
      <c r="C10" s="10" t="s">
        <v>32</v>
      </c>
      <c r="D10" s="7"/>
      <c r="E10" s="11">
        <f t="shared" si="0"/>
        <v>0</v>
      </c>
      <c r="F10" s="11">
        <f t="shared" si="1"/>
        <v>0</v>
      </c>
      <c r="G10" s="11"/>
      <c r="H10" s="11"/>
      <c r="I10" s="32"/>
      <c r="J10" s="32"/>
      <c r="K10" s="32"/>
      <c r="L10" s="29">
        <f t="shared" si="2"/>
        <v>0</v>
      </c>
      <c r="M10" s="29"/>
      <c r="N10" s="169"/>
      <c r="O10" s="91"/>
      <c r="P10" s="27"/>
      <c r="Q10" s="27">
        <v>6</v>
      </c>
      <c r="R10" s="16" t="s">
        <v>11</v>
      </c>
      <c r="S10" s="13">
        <f>J48</f>
        <v>0</v>
      </c>
      <c r="U10" s="22"/>
    </row>
    <row r="11" spans="1:22" x14ac:dyDescent="0.2">
      <c r="A11" s="9"/>
      <c r="B11" s="25" t="s">
        <v>33</v>
      </c>
      <c r="C11" s="10" t="s">
        <v>34</v>
      </c>
      <c r="D11" s="7"/>
      <c r="E11" s="11">
        <f t="shared" si="0"/>
        <v>0</v>
      </c>
      <c r="F11" s="11">
        <f t="shared" si="1"/>
        <v>0</v>
      </c>
      <c r="G11" s="11"/>
      <c r="H11" s="11"/>
      <c r="I11" s="32"/>
      <c r="J11" s="32"/>
      <c r="K11" s="32"/>
      <c r="L11" s="29">
        <f t="shared" si="2"/>
        <v>0</v>
      </c>
      <c r="M11" s="29"/>
      <c r="N11" s="169"/>
      <c r="O11" s="91"/>
      <c r="P11" s="27"/>
      <c r="Q11" s="27"/>
      <c r="R11" s="16" t="s">
        <v>12</v>
      </c>
      <c r="S11" s="13">
        <f>K48</f>
        <v>0</v>
      </c>
      <c r="U11" s="22"/>
    </row>
    <row r="12" spans="1:22" x14ac:dyDescent="0.2">
      <c r="A12" s="9"/>
      <c r="B12" s="25" t="s">
        <v>147</v>
      </c>
      <c r="C12" s="10" t="s">
        <v>189</v>
      </c>
      <c r="D12" s="7"/>
      <c r="E12" s="11">
        <f t="shared" si="0"/>
        <v>0</v>
      </c>
      <c r="F12" s="11">
        <f t="shared" si="1"/>
        <v>0</v>
      </c>
      <c r="G12" s="11"/>
      <c r="H12" s="11"/>
      <c r="I12" s="32"/>
      <c r="J12" s="32"/>
      <c r="K12" s="32"/>
      <c r="L12" s="29">
        <f t="shared" si="2"/>
        <v>0</v>
      </c>
      <c r="M12" s="29"/>
      <c r="N12" s="169"/>
      <c r="O12" s="91"/>
      <c r="P12" s="27"/>
      <c r="Q12" s="27">
        <v>6</v>
      </c>
      <c r="R12" s="17" t="s">
        <v>37</v>
      </c>
      <c r="S12" s="14">
        <f>N48</f>
        <v>0</v>
      </c>
      <c r="U12" s="22"/>
    </row>
    <row r="13" spans="1:22" x14ac:dyDescent="0.2">
      <c r="A13" s="9"/>
      <c r="B13" s="25" t="s">
        <v>105</v>
      </c>
      <c r="C13" s="10" t="s">
        <v>106</v>
      </c>
      <c r="D13" s="7"/>
      <c r="E13" s="11">
        <f t="shared" si="0"/>
        <v>0</v>
      </c>
      <c r="F13" s="11">
        <f t="shared" si="1"/>
        <v>0</v>
      </c>
      <c r="G13" s="11"/>
      <c r="H13" s="11"/>
      <c r="I13" s="32"/>
      <c r="J13" s="32"/>
      <c r="K13" s="32"/>
      <c r="L13" s="29">
        <f t="shared" si="2"/>
        <v>0</v>
      </c>
      <c r="M13" s="29"/>
      <c r="N13" s="169"/>
      <c r="O13" s="91"/>
      <c r="P13" s="27"/>
      <c r="Q13" s="27">
        <v>6</v>
      </c>
      <c r="R13" s="18"/>
      <c r="S13" s="30">
        <f>S5+S6+S7-S9-S10-S11-S12</f>
        <v>0</v>
      </c>
      <c r="U13" s="22"/>
    </row>
    <row r="14" spans="1:22" x14ac:dyDescent="0.2">
      <c r="A14" s="9"/>
      <c r="B14" s="25" t="s">
        <v>40</v>
      </c>
      <c r="C14" s="10" t="s">
        <v>41</v>
      </c>
      <c r="D14" s="7"/>
      <c r="E14" s="11">
        <f t="shared" si="0"/>
        <v>0</v>
      </c>
      <c r="F14" s="11">
        <f t="shared" si="1"/>
        <v>0</v>
      </c>
      <c r="G14" s="11"/>
      <c r="H14" s="11"/>
      <c r="I14" s="32"/>
      <c r="J14" s="32"/>
      <c r="K14" s="32"/>
      <c r="L14" s="29">
        <f t="shared" si="2"/>
        <v>0</v>
      </c>
      <c r="M14" s="29"/>
      <c r="N14" s="169"/>
      <c r="O14" s="91"/>
      <c r="P14" s="27"/>
      <c r="Q14" s="27">
        <v>6</v>
      </c>
      <c r="R14" s="19" t="s">
        <v>42</v>
      </c>
      <c r="S14" s="20">
        <f>M48</f>
        <v>0</v>
      </c>
      <c r="U14" s="22"/>
    </row>
    <row r="15" spans="1:22" x14ac:dyDescent="0.2">
      <c r="A15" s="9"/>
      <c r="B15" s="25" t="s">
        <v>43</v>
      </c>
      <c r="C15" s="10" t="s">
        <v>44</v>
      </c>
      <c r="D15" s="7"/>
      <c r="E15" s="11">
        <f t="shared" si="0"/>
        <v>0</v>
      </c>
      <c r="F15" s="11">
        <f t="shared" si="1"/>
        <v>0</v>
      </c>
      <c r="G15" s="11"/>
      <c r="H15" s="11"/>
      <c r="I15" s="32"/>
      <c r="J15" s="32"/>
      <c r="K15" s="32"/>
      <c r="L15" s="29">
        <f t="shared" si="2"/>
        <v>0</v>
      </c>
      <c r="M15" s="29"/>
      <c r="N15" s="169"/>
      <c r="O15" s="91"/>
      <c r="P15" s="27"/>
      <c r="Q15" s="27"/>
      <c r="U15" s="22"/>
    </row>
    <row r="16" spans="1:22" x14ac:dyDescent="0.2">
      <c r="A16" s="9"/>
      <c r="B16" s="25" t="s">
        <v>45</v>
      </c>
      <c r="C16" s="10" t="s">
        <v>46</v>
      </c>
      <c r="D16" s="7"/>
      <c r="E16" s="11">
        <f t="shared" si="0"/>
        <v>0</v>
      </c>
      <c r="F16" s="11">
        <f t="shared" si="1"/>
        <v>0</v>
      </c>
      <c r="G16" s="11"/>
      <c r="H16" s="11"/>
      <c r="I16" s="32"/>
      <c r="J16" s="32"/>
      <c r="K16" s="32"/>
      <c r="L16" s="29">
        <f t="shared" si="2"/>
        <v>0</v>
      </c>
      <c r="M16" s="29"/>
      <c r="N16" s="169"/>
      <c r="O16" s="91"/>
      <c r="P16" s="27"/>
      <c r="Q16" s="27">
        <v>6</v>
      </c>
      <c r="U16" s="22"/>
    </row>
    <row r="17" spans="1:21" x14ac:dyDescent="0.2">
      <c r="A17" s="9"/>
      <c r="B17" s="25" t="s">
        <v>47</v>
      </c>
      <c r="C17" s="10" t="s">
        <v>48</v>
      </c>
      <c r="D17" s="7"/>
      <c r="E17" s="11">
        <f t="shared" si="0"/>
        <v>0</v>
      </c>
      <c r="F17" s="11">
        <f t="shared" si="1"/>
        <v>0</v>
      </c>
      <c r="G17" s="11"/>
      <c r="H17" s="11"/>
      <c r="I17" s="32"/>
      <c r="J17" s="32"/>
      <c r="K17" s="32"/>
      <c r="L17" s="29">
        <f t="shared" si="2"/>
        <v>0</v>
      </c>
      <c r="M17" s="29"/>
      <c r="N17" s="170"/>
      <c r="O17" s="91"/>
      <c r="P17" s="27"/>
      <c r="Q17" s="27">
        <v>6</v>
      </c>
      <c r="R17" s="34"/>
      <c r="S17" s="34"/>
      <c r="T17" s="34"/>
      <c r="U17" s="22"/>
    </row>
    <row r="18" spans="1:21" x14ac:dyDescent="0.2">
      <c r="A18" s="9"/>
      <c r="B18" s="25" t="s">
        <v>49</v>
      </c>
      <c r="C18" s="10" t="s">
        <v>50</v>
      </c>
      <c r="D18" s="7"/>
      <c r="E18" s="11">
        <f t="shared" si="0"/>
        <v>0</v>
      </c>
      <c r="F18" s="11">
        <f t="shared" si="1"/>
        <v>0</v>
      </c>
      <c r="G18" s="11"/>
      <c r="H18" s="11"/>
      <c r="I18" s="32"/>
      <c r="J18" s="32"/>
      <c r="K18" s="32"/>
      <c r="L18" s="29">
        <f t="shared" si="2"/>
        <v>0</v>
      </c>
      <c r="M18" s="29"/>
      <c r="N18" s="169"/>
      <c r="O18" s="91"/>
      <c r="P18" s="27"/>
      <c r="Q18" s="27">
        <v>0</v>
      </c>
      <c r="R18" s="15" t="s">
        <v>51</v>
      </c>
      <c r="S18" s="95">
        <f t="array" ref="S18">SUMPRODUCT((VALUE(B4:B47)&lt;100)*(D4:D47&gt;0))</f>
        <v>0</v>
      </c>
      <c r="T18" s="35"/>
      <c r="U18" s="22"/>
    </row>
    <row r="19" spans="1:21" x14ac:dyDescent="0.2">
      <c r="A19" s="9"/>
      <c r="B19" s="25" t="s">
        <v>27</v>
      </c>
      <c r="C19" s="10" t="s">
        <v>53</v>
      </c>
      <c r="D19" s="7"/>
      <c r="E19" s="11">
        <f t="shared" si="0"/>
        <v>0</v>
      </c>
      <c r="F19" s="11">
        <f t="shared" si="1"/>
        <v>0</v>
      </c>
      <c r="G19" s="11"/>
      <c r="H19" s="11"/>
      <c r="I19" s="32"/>
      <c r="J19" s="32"/>
      <c r="K19" s="32"/>
      <c r="L19" s="29">
        <f t="shared" si="2"/>
        <v>0</v>
      </c>
      <c r="M19" s="29"/>
      <c r="N19" s="170"/>
      <c r="O19" s="173"/>
      <c r="P19" s="27"/>
      <c r="Q19" s="27">
        <v>6</v>
      </c>
      <c r="R19" s="16" t="s">
        <v>54</v>
      </c>
      <c r="S19" s="96">
        <f t="array" ref="S19">SUMPRODUCT((VALUE(B4:B47)&gt;100)*(D4:D47&gt;0))</f>
        <v>0</v>
      </c>
      <c r="U19" s="22"/>
    </row>
    <row r="20" spans="1:21" x14ac:dyDescent="0.2">
      <c r="A20" s="9"/>
      <c r="B20" s="25" t="s">
        <v>55</v>
      </c>
      <c r="C20" s="10" t="s">
        <v>56</v>
      </c>
      <c r="D20" s="7"/>
      <c r="E20" s="11">
        <f t="shared" si="0"/>
        <v>0</v>
      </c>
      <c r="F20" s="11">
        <f t="shared" si="1"/>
        <v>0</v>
      </c>
      <c r="G20" s="11"/>
      <c r="H20" s="11"/>
      <c r="I20" s="32"/>
      <c r="J20" s="32"/>
      <c r="K20" s="32"/>
      <c r="L20" s="29">
        <f t="shared" si="2"/>
        <v>0</v>
      </c>
      <c r="M20" s="29"/>
      <c r="N20" s="169"/>
      <c r="O20" s="91"/>
      <c r="P20" s="27"/>
      <c r="Q20" s="27">
        <v>6</v>
      </c>
      <c r="R20" s="17" t="s">
        <v>57</v>
      </c>
      <c r="S20" s="97">
        <f>S18+S19</f>
        <v>0</v>
      </c>
      <c r="U20" s="22"/>
    </row>
    <row r="21" spans="1:21" x14ac:dyDescent="0.2">
      <c r="A21" s="9"/>
      <c r="B21" s="25" t="s">
        <v>27</v>
      </c>
      <c r="C21" s="10" t="s">
        <v>58</v>
      </c>
      <c r="D21" s="7"/>
      <c r="E21" s="11">
        <f t="shared" si="0"/>
        <v>0</v>
      </c>
      <c r="F21" s="11">
        <f t="shared" si="1"/>
        <v>0</v>
      </c>
      <c r="G21" s="11"/>
      <c r="H21" s="11"/>
      <c r="I21" s="32"/>
      <c r="J21" s="32"/>
      <c r="K21" s="32"/>
      <c r="L21" s="29">
        <f t="shared" si="2"/>
        <v>0</v>
      </c>
      <c r="M21" s="29"/>
      <c r="N21" s="169"/>
      <c r="O21" s="91"/>
      <c r="P21" s="27"/>
      <c r="Q21" s="27">
        <v>2</v>
      </c>
      <c r="U21" s="22"/>
    </row>
    <row r="22" spans="1:21" x14ac:dyDescent="0.2">
      <c r="A22" s="9"/>
      <c r="B22" s="25" t="s">
        <v>49</v>
      </c>
      <c r="C22" s="10" t="s">
        <v>60</v>
      </c>
      <c r="D22" s="7"/>
      <c r="E22" s="11">
        <f t="shared" si="0"/>
        <v>0</v>
      </c>
      <c r="F22" s="11">
        <f t="shared" si="1"/>
        <v>0</v>
      </c>
      <c r="G22" s="11"/>
      <c r="H22" s="11"/>
      <c r="I22" s="32"/>
      <c r="J22" s="32"/>
      <c r="K22" s="32"/>
      <c r="L22" s="29">
        <f t="shared" si="2"/>
        <v>0</v>
      </c>
      <c r="M22" s="29"/>
      <c r="N22" s="169"/>
      <c r="O22" s="91"/>
      <c r="P22" s="27"/>
      <c r="Q22" s="27">
        <v>6</v>
      </c>
      <c r="U22" s="22"/>
    </row>
    <row r="23" spans="1:21" x14ac:dyDescent="0.2">
      <c r="A23" s="9"/>
      <c r="B23" s="103" t="s">
        <v>61</v>
      </c>
      <c r="C23" s="10" t="s">
        <v>62</v>
      </c>
      <c r="D23" s="7"/>
      <c r="E23" s="11">
        <f t="shared" si="0"/>
        <v>0</v>
      </c>
      <c r="F23" s="11">
        <f t="shared" si="1"/>
        <v>0</v>
      </c>
      <c r="G23" s="11"/>
      <c r="H23" s="11"/>
      <c r="I23" s="32"/>
      <c r="J23" s="32"/>
      <c r="K23" s="32"/>
      <c r="L23" s="29">
        <f t="shared" si="2"/>
        <v>0</v>
      </c>
      <c r="M23" s="29"/>
      <c r="N23" s="169"/>
      <c r="O23" s="91"/>
      <c r="P23" s="27"/>
      <c r="Q23" s="27">
        <v>6</v>
      </c>
      <c r="U23" s="22"/>
    </row>
    <row r="24" spans="1:21" x14ac:dyDescent="0.2">
      <c r="A24" s="102"/>
      <c r="B24" s="25" t="s">
        <v>63</v>
      </c>
      <c r="C24" s="10" t="s">
        <v>64</v>
      </c>
      <c r="D24" s="7"/>
      <c r="E24" s="11">
        <f t="shared" si="0"/>
        <v>0</v>
      </c>
      <c r="F24" s="11">
        <f t="shared" si="1"/>
        <v>0</v>
      </c>
      <c r="G24" s="11"/>
      <c r="H24" s="11"/>
      <c r="I24" s="32"/>
      <c r="J24" s="32"/>
      <c r="K24" s="32"/>
      <c r="L24" s="29">
        <f t="shared" si="2"/>
        <v>0</v>
      </c>
      <c r="M24" s="29"/>
      <c r="N24" s="169"/>
      <c r="O24" s="91"/>
      <c r="P24" s="27"/>
      <c r="Q24" s="27"/>
      <c r="U24" s="22"/>
    </row>
    <row r="25" spans="1:21" x14ac:dyDescent="0.2">
      <c r="A25" s="9"/>
      <c r="B25" s="25" t="s">
        <v>65</v>
      </c>
      <c r="C25" s="10" t="s">
        <v>66</v>
      </c>
      <c r="D25" s="7"/>
      <c r="E25" s="11">
        <f t="shared" si="0"/>
        <v>0</v>
      </c>
      <c r="F25" s="11">
        <f t="shared" si="1"/>
        <v>0</v>
      </c>
      <c r="G25" s="11"/>
      <c r="H25" s="11"/>
      <c r="I25" s="32"/>
      <c r="J25" s="32"/>
      <c r="K25" s="32"/>
      <c r="L25" s="29">
        <f t="shared" si="2"/>
        <v>0</v>
      </c>
      <c r="M25" s="29"/>
      <c r="N25" s="169"/>
      <c r="O25" s="91"/>
      <c r="P25" s="27"/>
      <c r="Q25" s="27">
        <v>0</v>
      </c>
      <c r="U25" s="22"/>
    </row>
    <row r="26" spans="1:21" x14ac:dyDescent="0.2">
      <c r="A26" s="9"/>
      <c r="B26" s="25" t="s">
        <v>55</v>
      </c>
      <c r="C26" s="10" t="s">
        <v>107</v>
      </c>
      <c r="D26" s="7"/>
      <c r="E26" s="11">
        <f t="shared" si="0"/>
        <v>0</v>
      </c>
      <c r="F26" s="11">
        <f t="shared" si="1"/>
        <v>0</v>
      </c>
      <c r="G26" s="11"/>
      <c r="H26" s="11"/>
      <c r="I26" s="32"/>
      <c r="J26" s="32"/>
      <c r="K26" s="32"/>
      <c r="L26" s="29">
        <f t="shared" si="2"/>
        <v>0</v>
      </c>
      <c r="M26" s="29"/>
      <c r="N26" s="169"/>
      <c r="O26" s="91"/>
      <c r="P26" s="27"/>
      <c r="Q26" s="27">
        <v>6</v>
      </c>
      <c r="R26" s="212"/>
      <c r="S26" s="213"/>
      <c r="U26" s="22"/>
    </row>
    <row r="27" spans="1:21" x14ac:dyDescent="0.2">
      <c r="A27" s="9"/>
      <c r="B27" s="25" t="s">
        <v>190</v>
      </c>
      <c r="C27" s="10" t="s">
        <v>68</v>
      </c>
      <c r="D27" s="7"/>
      <c r="E27" s="11">
        <f t="shared" si="0"/>
        <v>0</v>
      </c>
      <c r="F27" s="11">
        <f t="shared" si="1"/>
        <v>0</v>
      </c>
      <c r="G27" s="11"/>
      <c r="H27" s="11"/>
      <c r="I27" s="32"/>
      <c r="J27" s="32"/>
      <c r="K27" s="32"/>
      <c r="L27" s="29">
        <f t="shared" si="2"/>
        <v>0</v>
      </c>
      <c r="M27" s="29"/>
      <c r="N27" s="169"/>
      <c r="O27" s="91"/>
      <c r="P27" s="27"/>
      <c r="Q27" s="27"/>
      <c r="S27" s="22"/>
      <c r="T27" s="27">
        <v>2</v>
      </c>
      <c r="U27" s="22"/>
    </row>
    <row r="28" spans="1:21" x14ac:dyDescent="0.2">
      <c r="A28" s="9"/>
      <c r="B28" s="25" t="s">
        <v>69</v>
      </c>
      <c r="C28" s="10" t="s">
        <v>70</v>
      </c>
      <c r="D28" s="7"/>
      <c r="E28" s="11">
        <f t="shared" si="0"/>
        <v>0</v>
      </c>
      <c r="F28" s="11">
        <f t="shared" si="1"/>
        <v>0</v>
      </c>
      <c r="G28" s="11"/>
      <c r="H28" s="11"/>
      <c r="I28" s="32"/>
      <c r="J28" s="32"/>
      <c r="K28" s="32"/>
      <c r="L28" s="29">
        <f t="shared" si="2"/>
        <v>0</v>
      </c>
      <c r="M28" s="29"/>
      <c r="N28" s="169"/>
      <c r="O28" s="91"/>
      <c r="P28" s="27"/>
      <c r="Q28" s="27"/>
      <c r="S28" s="22"/>
      <c r="T28" s="27">
        <v>1</v>
      </c>
      <c r="U28" s="22"/>
    </row>
    <row r="29" spans="1:21" x14ac:dyDescent="0.2">
      <c r="A29" s="9"/>
      <c r="B29" s="25" t="s">
        <v>71</v>
      </c>
      <c r="C29" s="10" t="s">
        <v>72</v>
      </c>
      <c r="D29" s="7"/>
      <c r="E29" s="11">
        <f t="shared" si="0"/>
        <v>0</v>
      </c>
      <c r="F29" s="11">
        <f t="shared" si="1"/>
        <v>0</v>
      </c>
      <c r="G29" s="11"/>
      <c r="H29" s="11"/>
      <c r="I29" s="32"/>
      <c r="J29" s="32"/>
      <c r="K29" s="32"/>
      <c r="L29" s="29">
        <f t="shared" si="2"/>
        <v>0</v>
      </c>
      <c r="M29" s="29"/>
      <c r="N29" s="169"/>
      <c r="O29" s="91"/>
      <c r="P29" s="27"/>
      <c r="Q29" s="27">
        <v>0</v>
      </c>
      <c r="S29" s="22"/>
      <c r="U29" s="22"/>
    </row>
    <row r="30" spans="1:21" x14ac:dyDescent="0.2">
      <c r="A30" s="9"/>
      <c r="B30" s="25" t="s">
        <v>73</v>
      </c>
      <c r="C30" s="10" t="s">
        <v>74</v>
      </c>
      <c r="D30" s="7"/>
      <c r="E30" s="11">
        <f t="shared" si="0"/>
        <v>0</v>
      </c>
      <c r="F30" s="11">
        <f t="shared" si="1"/>
        <v>0</v>
      </c>
      <c r="G30" s="11"/>
      <c r="H30" s="11"/>
      <c r="I30" s="32"/>
      <c r="J30" s="32"/>
      <c r="K30" s="32"/>
      <c r="L30" s="29">
        <f t="shared" si="2"/>
        <v>0</v>
      </c>
      <c r="M30" s="29"/>
      <c r="N30" s="169"/>
      <c r="O30" s="91"/>
      <c r="P30" s="27"/>
      <c r="Q30" s="27">
        <v>6</v>
      </c>
      <c r="R30" s="18"/>
      <c r="S30" s="3"/>
      <c r="U30" s="22"/>
    </row>
    <row r="31" spans="1:21" x14ac:dyDescent="0.2">
      <c r="A31" s="9"/>
      <c r="B31" s="25" t="s">
        <v>75</v>
      </c>
      <c r="C31" s="10" t="s">
        <v>76</v>
      </c>
      <c r="D31" s="7"/>
      <c r="E31" s="11">
        <f t="shared" si="0"/>
        <v>0</v>
      </c>
      <c r="F31" s="11">
        <f t="shared" si="1"/>
        <v>0</v>
      </c>
      <c r="G31" s="11"/>
      <c r="H31" s="11"/>
      <c r="I31" s="32"/>
      <c r="J31" s="32"/>
      <c r="K31" s="32"/>
      <c r="L31" s="29">
        <f t="shared" si="2"/>
        <v>0</v>
      </c>
      <c r="M31" s="29"/>
      <c r="N31" s="169"/>
      <c r="O31" s="91"/>
      <c r="P31" s="27"/>
      <c r="Q31" s="27">
        <v>6</v>
      </c>
      <c r="U31" s="22"/>
    </row>
    <row r="32" spans="1:21" x14ac:dyDescent="0.2">
      <c r="A32" s="9"/>
      <c r="B32" s="25" t="s">
        <v>77</v>
      </c>
      <c r="C32" s="10" t="s">
        <v>78</v>
      </c>
      <c r="D32" s="7"/>
      <c r="E32" s="11">
        <f t="shared" si="0"/>
        <v>0</v>
      </c>
      <c r="F32" s="11">
        <f t="shared" si="1"/>
        <v>0</v>
      </c>
      <c r="G32" s="11"/>
      <c r="H32" s="11"/>
      <c r="I32" s="32"/>
      <c r="J32" s="32"/>
      <c r="K32" s="32"/>
      <c r="L32" s="29">
        <f t="shared" si="2"/>
        <v>0</v>
      </c>
      <c r="M32" s="29"/>
      <c r="N32" s="169"/>
      <c r="O32" s="91"/>
      <c r="P32" s="27"/>
      <c r="Q32" s="27">
        <v>6</v>
      </c>
      <c r="U32" s="22"/>
    </row>
    <row r="33" spans="1:21" x14ac:dyDescent="0.2">
      <c r="A33" s="9"/>
      <c r="B33" s="25" t="s">
        <v>131</v>
      </c>
      <c r="C33" s="10" t="s">
        <v>79</v>
      </c>
      <c r="D33" s="7"/>
      <c r="E33" s="11">
        <f t="shared" si="0"/>
        <v>0</v>
      </c>
      <c r="F33" s="11">
        <f t="shared" si="1"/>
        <v>0</v>
      </c>
      <c r="G33" s="11"/>
      <c r="H33" s="11"/>
      <c r="I33" s="32"/>
      <c r="J33" s="32"/>
      <c r="K33" s="32"/>
      <c r="L33" s="29">
        <f t="shared" si="2"/>
        <v>0</v>
      </c>
      <c r="M33" s="29"/>
      <c r="N33" s="169"/>
      <c r="O33" s="91"/>
      <c r="P33" s="27"/>
      <c r="Q33" s="27"/>
      <c r="U33" s="22"/>
    </row>
    <row r="34" spans="1:21" x14ac:dyDescent="0.2">
      <c r="A34" s="9"/>
      <c r="B34" s="25" t="s">
        <v>43</v>
      </c>
      <c r="C34" s="10" t="s">
        <v>80</v>
      </c>
      <c r="D34" s="7"/>
      <c r="E34" s="11">
        <f t="shared" si="0"/>
        <v>0</v>
      </c>
      <c r="F34" s="11">
        <f t="shared" si="1"/>
        <v>0</v>
      </c>
      <c r="G34" s="11"/>
      <c r="H34" s="11"/>
      <c r="I34" s="32"/>
      <c r="J34" s="32"/>
      <c r="K34" s="32"/>
      <c r="L34" s="29">
        <f t="shared" si="2"/>
        <v>0</v>
      </c>
      <c r="M34" s="29"/>
      <c r="N34" s="169"/>
      <c r="O34" s="91"/>
      <c r="P34" s="27"/>
      <c r="Q34" s="27"/>
      <c r="U34" s="22"/>
    </row>
    <row r="35" spans="1:21" x14ac:dyDescent="0.2">
      <c r="A35" s="9"/>
      <c r="B35" s="25" t="s">
        <v>27</v>
      </c>
      <c r="C35" s="10" t="s">
        <v>81</v>
      </c>
      <c r="D35" s="7"/>
      <c r="E35" s="11">
        <f t="shared" si="0"/>
        <v>0</v>
      </c>
      <c r="F35" s="11">
        <f t="shared" si="1"/>
        <v>0</v>
      </c>
      <c r="G35" s="11"/>
      <c r="H35" s="11"/>
      <c r="I35" s="32"/>
      <c r="J35" s="32"/>
      <c r="K35" s="32"/>
      <c r="L35" s="29">
        <f t="shared" si="2"/>
        <v>0</v>
      </c>
      <c r="M35" s="29"/>
      <c r="N35" s="169"/>
      <c r="O35" s="91"/>
      <c r="P35" s="27"/>
      <c r="Q35" s="27"/>
      <c r="U35" s="22"/>
    </row>
    <row r="36" spans="1:21" x14ac:dyDescent="0.2">
      <c r="A36" s="9"/>
      <c r="B36" s="25" t="s">
        <v>82</v>
      </c>
      <c r="C36" s="10" t="s">
        <v>83</v>
      </c>
      <c r="D36" s="7"/>
      <c r="E36" s="11">
        <f t="shared" si="0"/>
        <v>0</v>
      </c>
      <c r="F36" s="11">
        <f t="shared" si="1"/>
        <v>0</v>
      </c>
      <c r="G36" s="11"/>
      <c r="H36" s="11"/>
      <c r="I36" s="32"/>
      <c r="J36" s="32"/>
      <c r="K36" s="32"/>
      <c r="L36" s="29">
        <f t="shared" si="2"/>
        <v>0</v>
      </c>
      <c r="M36" s="29"/>
      <c r="N36" s="169"/>
      <c r="O36" s="91"/>
      <c r="P36" s="27"/>
      <c r="Q36" s="27"/>
      <c r="U36" s="22"/>
    </row>
    <row r="37" spans="1:21" x14ac:dyDescent="0.2">
      <c r="A37" s="9"/>
      <c r="B37" s="25" t="s">
        <v>84</v>
      </c>
      <c r="C37" s="10" t="s">
        <v>85</v>
      </c>
      <c r="D37" s="7"/>
      <c r="E37" s="11">
        <f t="shared" si="0"/>
        <v>0</v>
      </c>
      <c r="F37" s="11">
        <f t="shared" si="1"/>
        <v>0</v>
      </c>
      <c r="G37" s="11"/>
      <c r="H37" s="11"/>
      <c r="I37" s="32"/>
      <c r="J37" s="32"/>
      <c r="K37" s="32"/>
      <c r="L37" s="29">
        <f t="shared" si="2"/>
        <v>0</v>
      </c>
      <c r="M37" s="29"/>
      <c r="N37" s="169"/>
      <c r="O37" s="91"/>
      <c r="P37" s="27" t="s">
        <v>59</v>
      </c>
      <c r="Q37" s="27"/>
      <c r="U37" s="22"/>
    </row>
    <row r="38" spans="1:21" x14ac:dyDescent="0.2">
      <c r="A38" s="9"/>
      <c r="B38" s="25" t="s">
        <v>86</v>
      </c>
      <c r="C38" s="10" t="s">
        <v>87</v>
      </c>
      <c r="D38" s="8"/>
      <c r="E38" s="11">
        <f t="shared" si="0"/>
        <v>0</v>
      </c>
      <c r="F38" s="11">
        <f t="shared" si="1"/>
        <v>0</v>
      </c>
      <c r="G38" s="11"/>
      <c r="H38" s="11"/>
      <c r="I38" s="33"/>
      <c r="J38" s="33"/>
      <c r="K38" s="33"/>
      <c r="L38" s="29">
        <f t="shared" si="2"/>
        <v>0</v>
      </c>
      <c r="M38" s="29"/>
      <c r="N38" s="171"/>
      <c r="O38" s="25"/>
      <c r="P38" s="27"/>
      <c r="Q38" s="27">
        <v>6</v>
      </c>
      <c r="U38" s="22"/>
    </row>
    <row r="39" spans="1:21" x14ac:dyDescent="0.2">
      <c r="A39" s="9"/>
      <c r="B39" s="25" t="s">
        <v>47</v>
      </c>
      <c r="C39" s="10" t="s">
        <v>88</v>
      </c>
      <c r="D39" s="7"/>
      <c r="E39" s="11">
        <f t="shared" si="0"/>
        <v>0</v>
      </c>
      <c r="F39" s="11">
        <f t="shared" si="1"/>
        <v>0</v>
      </c>
      <c r="G39" s="11"/>
      <c r="H39" s="11"/>
      <c r="I39" s="32"/>
      <c r="J39" s="32"/>
      <c r="K39" s="32"/>
      <c r="L39" s="29">
        <f t="shared" si="2"/>
        <v>0</v>
      </c>
      <c r="M39" s="29"/>
      <c r="N39" s="169"/>
      <c r="O39" s="91"/>
      <c r="P39" s="27"/>
      <c r="Q39" s="27"/>
      <c r="U39" s="22"/>
    </row>
    <row r="40" spans="1:21" x14ac:dyDescent="0.2">
      <c r="A40" s="9"/>
      <c r="B40" s="25" t="s">
        <v>89</v>
      </c>
      <c r="C40" s="10" t="s">
        <v>191</v>
      </c>
      <c r="D40" s="7"/>
      <c r="E40" s="11">
        <f t="shared" si="0"/>
        <v>0</v>
      </c>
      <c r="F40" s="11">
        <f t="shared" si="1"/>
        <v>0</v>
      </c>
      <c r="G40" s="11"/>
      <c r="H40" s="11"/>
      <c r="I40" s="32"/>
      <c r="J40" s="32"/>
      <c r="K40" s="32"/>
      <c r="L40" s="29">
        <f t="shared" si="2"/>
        <v>0</v>
      </c>
      <c r="M40" s="29"/>
      <c r="N40" s="169"/>
      <c r="O40" s="91"/>
      <c r="P40" s="27"/>
      <c r="Q40" s="27">
        <v>6</v>
      </c>
      <c r="U40" s="22"/>
    </row>
    <row r="41" spans="1:21" x14ac:dyDescent="0.2">
      <c r="A41" s="9"/>
      <c r="B41" s="25" t="s">
        <v>91</v>
      </c>
      <c r="C41" s="10" t="s">
        <v>92</v>
      </c>
      <c r="D41" s="7"/>
      <c r="E41" s="11">
        <f t="shared" si="0"/>
        <v>0</v>
      </c>
      <c r="F41" s="11">
        <f t="shared" si="1"/>
        <v>0</v>
      </c>
      <c r="G41" s="11"/>
      <c r="H41" s="11"/>
      <c r="I41" s="32"/>
      <c r="J41" s="32"/>
      <c r="K41" s="32"/>
      <c r="L41" s="29">
        <f t="shared" si="2"/>
        <v>0</v>
      </c>
      <c r="M41" s="29"/>
      <c r="N41" s="169"/>
      <c r="O41" s="91"/>
      <c r="P41" s="27"/>
      <c r="Q41" s="27"/>
      <c r="U41" s="22"/>
    </row>
    <row r="42" spans="1:21" x14ac:dyDescent="0.2">
      <c r="A42" s="102"/>
      <c r="B42" s="25" t="s">
        <v>93</v>
      </c>
      <c r="C42" s="10" t="s">
        <v>94</v>
      </c>
      <c r="D42" s="7"/>
      <c r="E42" s="11">
        <f t="shared" si="0"/>
        <v>0</v>
      </c>
      <c r="F42" s="11">
        <f t="shared" si="1"/>
        <v>0</v>
      </c>
      <c r="G42" s="11"/>
      <c r="H42" s="11"/>
      <c r="I42" s="32"/>
      <c r="J42" s="32"/>
      <c r="K42" s="32"/>
      <c r="L42" s="29">
        <f t="shared" si="2"/>
        <v>0</v>
      </c>
      <c r="M42" s="29"/>
      <c r="N42" s="169"/>
      <c r="O42" s="91"/>
      <c r="P42" s="27"/>
      <c r="Q42" s="27"/>
      <c r="U42" s="22"/>
    </row>
    <row r="43" spans="1:21" x14ac:dyDescent="0.2">
      <c r="A43" s="9"/>
      <c r="B43" s="25" t="s">
        <v>99</v>
      </c>
      <c r="C43" s="10" t="s">
        <v>95</v>
      </c>
      <c r="D43" s="7"/>
      <c r="E43" s="11">
        <f t="shared" si="0"/>
        <v>0</v>
      </c>
      <c r="F43" s="11">
        <f t="shared" si="1"/>
        <v>0</v>
      </c>
      <c r="G43" s="11"/>
      <c r="H43" s="11"/>
      <c r="I43" s="32"/>
      <c r="J43" s="32"/>
      <c r="K43" s="32"/>
      <c r="L43" s="29">
        <f t="shared" si="2"/>
        <v>0</v>
      </c>
      <c r="M43" s="29"/>
      <c r="N43" s="169"/>
      <c r="O43" s="91"/>
      <c r="P43" s="27"/>
      <c r="Q43" s="27"/>
      <c r="U43" s="22"/>
    </row>
    <row r="44" spans="1:21" x14ac:dyDescent="0.2">
      <c r="A44" s="9"/>
      <c r="B44" s="25" t="s">
        <v>111</v>
      </c>
      <c r="C44" s="10" t="s">
        <v>96</v>
      </c>
      <c r="D44" s="7"/>
      <c r="E44" s="11">
        <f t="shared" si="0"/>
        <v>0</v>
      </c>
      <c r="F44" s="11">
        <f t="shared" si="1"/>
        <v>0</v>
      </c>
      <c r="G44" s="11"/>
      <c r="H44" s="11"/>
      <c r="I44" s="32"/>
      <c r="J44" s="32"/>
      <c r="K44" s="32"/>
      <c r="L44" s="29">
        <f t="shared" si="2"/>
        <v>0</v>
      </c>
      <c r="M44" s="29"/>
      <c r="N44" s="169"/>
      <c r="O44" s="91"/>
      <c r="P44" s="27"/>
      <c r="Q44" s="27">
        <v>6</v>
      </c>
      <c r="U44" s="22"/>
    </row>
    <row r="45" spans="1:21" x14ac:dyDescent="0.2">
      <c r="A45" s="9"/>
      <c r="B45" s="25" t="s">
        <v>97</v>
      </c>
      <c r="C45" s="10" t="s">
        <v>98</v>
      </c>
      <c r="D45" s="7"/>
      <c r="E45" s="11">
        <f t="shared" si="0"/>
        <v>0</v>
      </c>
      <c r="F45" s="11">
        <f t="shared" si="1"/>
        <v>0</v>
      </c>
      <c r="G45" s="11"/>
      <c r="H45" s="11"/>
      <c r="I45" s="32"/>
      <c r="J45" s="32"/>
      <c r="K45" s="32"/>
      <c r="L45" s="29">
        <f t="shared" si="2"/>
        <v>0</v>
      </c>
      <c r="M45" s="29"/>
      <c r="N45" s="169"/>
      <c r="O45" s="91"/>
      <c r="P45" s="27"/>
      <c r="Q45" s="27"/>
      <c r="U45" s="22"/>
    </row>
    <row r="46" spans="1:21" x14ac:dyDescent="0.2">
      <c r="A46" s="9"/>
      <c r="B46" s="25" t="s">
        <v>99</v>
      </c>
      <c r="C46" s="10" t="s">
        <v>100</v>
      </c>
      <c r="D46" s="7"/>
      <c r="E46" s="11">
        <f t="shared" si="0"/>
        <v>0</v>
      </c>
      <c r="F46" s="11">
        <f t="shared" si="1"/>
        <v>0</v>
      </c>
      <c r="G46" s="11"/>
      <c r="H46" s="11"/>
      <c r="I46" s="32"/>
      <c r="J46" s="32"/>
      <c r="K46" s="32"/>
      <c r="L46" s="29">
        <f t="shared" si="2"/>
        <v>0</v>
      </c>
      <c r="M46" s="29"/>
      <c r="N46" s="169"/>
      <c r="O46" s="91"/>
      <c r="P46" s="27"/>
      <c r="Q46" s="27">
        <v>6</v>
      </c>
      <c r="U46" s="22"/>
    </row>
    <row r="47" spans="1:21" x14ac:dyDescent="0.2">
      <c r="A47" s="9"/>
      <c r="B47" s="25"/>
      <c r="C47" s="10"/>
      <c r="D47" s="7"/>
      <c r="E47" s="11">
        <f t="shared" si="0"/>
        <v>0</v>
      </c>
      <c r="F47" s="11">
        <f t="shared" si="1"/>
        <v>0</v>
      </c>
      <c r="G47" s="11"/>
      <c r="H47" s="11"/>
      <c r="I47" s="32"/>
      <c r="J47" s="32"/>
      <c r="K47" s="32"/>
      <c r="L47" s="29">
        <f t="shared" si="2"/>
        <v>0</v>
      </c>
      <c r="M47" s="29"/>
      <c r="N47" s="169"/>
      <c r="O47" s="91"/>
      <c r="P47" s="27"/>
      <c r="Q47" s="27">
        <v>6</v>
      </c>
      <c r="U47" s="22"/>
    </row>
    <row r="48" spans="1:21" x14ac:dyDescent="0.2">
      <c r="D48" s="3">
        <f t="shared" ref="D48:N48" si="3">SUM(D4:D47)</f>
        <v>0</v>
      </c>
      <c r="E48" s="21">
        <f t="shared" si="3"/>
        <v>0</v>
      </c>
      <c r="F48" s="3">
        <f t="shared" si="3"/>
        <v>0</v>
      </c>
      <c r="G48" s="3">
        <f t="shared" si="3"/>
        <v>0</v>
      </c>
      <c r="H48" s="3">
        <f t="shared" si="3"/>
        <v>0</v>
      </c>
      <c r="I48" s="3">
        <f t="shared" si="3"/>
        <v>0</v>
      </c>
      <c r="J48" s="3">
        <f t="shared" si="3"/>
        <v>0</v>
      </c>
      <c r="K48" s="3">
        <f t="shared" si="3"/>
        <v>0</v>
      </c>
      <c r="L48" s="3">
        <f t="shared" si="3"/>
        <v>0</v>
      </c>
      <c r="M48" s="3">
        <f t="shared" si="3"/>
        <v>0</v>
      </c>
      <c r="N48" s="3">
        <f t="shared" si="3"/>
        <v>0</v>
      </c>
      <c r="O48" s="174"/>
    </row>
    <row r="49" spans="5:5" x14ac:dyDescent="0.2">
      <c r="E49" s="2"/>
    </row>
    <row r="50" spans="5:5" x14ac:dyDescent="0.2">
      <c r="E50" s="2"/>
    </row>
    <row r="51" spans="5:5" x14ac:dyDescent="0.2">
      <c r="E51" s="2"/>
    </row>
    <row r="52" spans="5:5" x14ac:dyDescent="0.2">
      <c r="E52" s="2"/>
    </row>
    <row r="53" spans="5:5" x14ac:dyDescent="0.2">
      <c r="E53" s="2"/>
    </row>
  </sheetData>
  <mergeCells count="1">
    <mergeCell ref="R26:S26"/>
  </mergeCells>
  <conditionalFormatting sqref="C4:C47">
    <cfRule type="expression" dxfId="24" priority="1">
      <formula>$M4&lt;0</formula>
    </cfRule>
  </conditionalFormatting>
  <conditionalFormatting sqref="M4:M47">
    <cfRule type="cellIs" dxfId="23" priority="24" operator="lessThan">
      <formula>0</formula>
    </cfRule>
  </conditionalFormatting>
  <pageMargins left="0.7" right="0.7" top="0.75" bottom="0.75" header="0.3" footer="0.3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V48"/>
  <sheetViews>
    <sheetView showGridLines="0" workbookViewId="0">
      <selection activeCell="P24" sqref="P24"/>
    </sheetView>
  </sheetViews>
  <sheetFormatPr baseColWidth="10" defaultColWidth="8.83203125" defaultRowHeight="15" x14ac:dyDescent="0.2"/>
  <cols>
    <col min="1" max="1" width="6.5" style="1" customWidth="1"/>
    <col min="2" max="2" width="12.1640625" style="26" customWidth="1"/>
    <col min="3" max="3" width="18.1640625" style="1" bestFit="1" customWidth="1"/>
    <col min="4" max="13" width="12.1640625" customWidth="1"/>
    <col min="14" max="15" width="13.5" customWidth="1"/>
    <col min="16" max="17" width="6" style="1" customWidth="1"/>
    <col min="18" max="18" width="12.5" bestFit="1" customWidth="1"/>
    <col min="19" max="19" width="10.6640625" customWidth="1"/>
  </cols>
  <sheetData>
    <row r="1" spans="1:22" x14ac:dyDescent="0.2">
      <c r="A1" s="4" t="s">
        <v>0</v>
      </c>
      <c r="B1" s="108">
        <f>'Mon AM'!B1+5</f>
        <v>46123</v>
      </c>
      <c r="C1" s="208"/>
      <c r="D1" s="4" t="s">
        <v>1</v>
      </c>
      <c r="E1" s="6" t="s">
        <v>112</v>
      </c>
    </row>
    <row r="3" spans="1:22" x14ac:dyDescent="0.2">
      <c r="A3" s="4"/>
      <c r="B3" s="23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101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28" t="s">
        <v>16</v>
      </c>
    </row>
    <row r="4" spans="1:22" x14ac:dyDescent="0.2">
      <c r="A4" s="10"/>
      <c r="B4" s="24" t="s">
        <v>113</v>
      </c>
      <c r="C4" s="10" t="s">
        <v>114</v>
      </c>
      <c r="D4" s="11"/>
      <c r="E4" s="11">
        <f t="shared" ref="E4:E47" si="0">IF(AND(VALUE(B4)&lt;100, D4&gt;0),D4*0.5,D4*0.25)</f>
        <v>0</v>
      </c>
      <c r="F4" s="11">
        <f t="shared" ref="F4:F47" si="1">IF(P4="C",Q4,IF(AND(VALUE(B4)&lt;100, D4&gt;0),12,IF(D4&gt;0,2,0)))</f>
        <v>0</v>
      </c>
      <c r="G4" s="11"/>
      <c r="H4" s="11"/>
      <c r="I4" s="31"/>
      <c r="J4" s="31"/>
      <c r="K4" s="31"/>
      <c r="L4" s="29">
        <f t="shared" ref="L4:L47" si="2">(E4+F4+G4+H4)-I4-J4-K4</f>
        <v>0</v>
      </c>
      <c r="M4" s="29"/>
      <c r="N4" s="169"/>
      <c r="O4" s="172"/>
      <c r="P4" s="27" t="s">
        <v>59</v>
      </c>
      <c r="Q4" s="27">
        <v>0</v>
      </c>
      <c r="R4" s="15" t="s">
        <v>19</v>
      </c>
      <c r="S4" s="12">
        <f>D48</f>
        <v>0</v>
      </c>
      <c r="U4" s="1"/>
      <c r="V4" s="1"/>
    </row>
    <row r="5" spans="1:22" x14ac:dyDescent="0.2">
      <c r="A5" s="9"/>
      <c r="B5" s="25" t="s">
        <v>115</v>
      </c>
      <c r="C5" s="10" t="s">
        <v>116</v>
      </c>
      <c r="D5" s="7"/>
      <c r="E5" s="11">
        <f t="shared" si="0"/>
        <v>0</v>
      </c>
      <c r="F5" s="11">
        <f t="shared" si="1"/>
        <v>0</v>
      </c>
      <c r="G5" s="11"/>
      <c r="H5" s="11"/>
      <c r="I5" s="32"/>
      <c r="J5" s="32"/>
      <c r="K5" s="32"/>
      <c r="L5" s="29">
        <f t="shared" si="2"/>
        <v>0</v>
      </c>
      <c r="M5" s="29"/>
      <c r="N5" s="169"/>
      <c r="O5" s="91"/>
      <c r="P5" s="27"/>
      <c r="Q5" s="27">
        <v>0</v>
      </c>
      <c r="R5" s="16" t="s">
        <v>22</v>
      </c>
      <c r="S5" s="13">
        <f>E48</f>
        <v>0</v>
      </c>
      <c r="U5" s="1"/>
      <c r="V5" s="1"/>
    </row>
    <row r="6" spans="1:22" x14ac:dyDescent="0.2">
      <c r="A6" s="9"/>
      <c r="B6" s="25" t="s">
        <v>117</v>
      </c>
      <c r="C6" s="10" t="s">
        <v>118</v>
      </c>
      <c r="D6" s="7"/>
      <c r="E6" s="11">
        <f t="shared" si="0"/>
        <v>0</v>
      </c>
      <c r="F6" s="11">
        <f t="shared" si="1"/>
        <v>0</v>
      </c>
      <c r="G6" s="11"/>
      <c r="H6" s="11"/>
      <c r="I6" s="32"/>
      <c r="J6" s="32"/>
      <c r="K6" s="32"/>
      <c r="L6" s="29">
        <f t="shared" si="2"/>
        <v>0</v>
      </c>
      <c r="M6" s="29"/>
      <c r="N6" s="169"/>
      <c r="O6" s="91"/>
      <c r="P6" s="27"/>
      <c r="Q6" s="27">
        <v>0</v>
      </c>
      <c r="R6" s="16" t="s">
        <v>7</v>
      </c>
      <c r="S6" s="13">
        <f>F48</f>
        <v>0</v>
      </c>
    </row>
    <row r="7" spans="1:22" x14ac:dyDescent="0.2">
      <c r="A7" s="9"/>
      <c r="B7" s="25" t="s">
        <v>17</v>
      </c>
      <c r="C7" s="10" t="s">
        <v>119</v>
      </c>
      <c r="D7" s="7"/>
      <c r="E7" s="11">
        <f t="shared" si="0"/>
        <v>0</v>
      </c>
      <c r="F7" s="11">
        <f t="shared" si="1"/>
        <v>0</v>
      </c>
      <c r="G7" s="11"/>
      <c r="H7" s="11"/>
      <c r="I7" s="32"/>
      <c r="J7" s="32"/>
      <c r="K7" s="32"/>
      <c r="L7" s="29">
        <f t="shared" si="2"/>
        <v>0</v>
      </c>
      <c r="M7" s="29"/>
      <c r="N7" s="169"/>
      <c r="O7" s="91"/>
      <c r="P7" s="27"/>
      <c r="Q7" s="27">
        <v>6</v>
      </c>
      <c r="R7" s="16" t="s">
        <v>8</v>
      </c>
      <c r="S7" s="13">
        <f>G48</f>
        <v>0</v>
      </c>
    </row>
    <row r="8" spans="1:22" x14ac:dyDescent="0.2">
      <c r="A8" s="9"/>
      <c r="B8" s="25" t="s">
        <v>120</v>
      </c>
      <c r="C8" s="10" t="s">
        <v>121</v>
      </c>
      <c r="D8" s="7"/>
      <c r="E8" s="11">
        <f t="shared" si="0"/>
        <v>0</v>
      </c>
      <c r="F8" s="11">
        <f t="shared" si="1"/>
        <v>0</v>
      </c>
      <c r="G8" s="11"/>
      <c r="H8" s="11"/>
      <c r="I8" s="32"/>
      <c r="J8" s="32"/>
      <c r="K8" s="32"/>
      <c r="L8" s="29">
        <f t="shared" si="2"/>
        <v>0</v>
      </c>
      <c r="M8" s="29"/>
      <c r="N8" s="169"/>
      <c r="O8" s="91"/>
      <c r="P8" s="27"/>
      <c r="Q8" s="27">
        <v>6</v>
      </c>
      <c r="R8" s="16" t="s">
        <v>9</v>
      </c>
      <c r="S8" s="13">
        <f>H48</f>
        <v>0</v>
      </c>
    </row>
    <row r="9" spans="1:22" x14ac:dyDescent="0.2">
      <c r="A9" s="9"/>
      <c r="B9" s="25" t="s">
        <v>111</v>
      </c>
      <c r="C9" s="10" t="s">
        <v>122</v>
      </c>
      <c r="D9" s="7"/>
      <c r="E9" s="11">
        <f t="shared" si="0"/>
        <v>0</v>
      </c>
      <c r="F9" s="11">
        <f t="shared" si="1"/>
        <v>0</v>
      </c>
      <c r="G9" s="11"/>
      <c r="H9" s="11"/>
      <c r="I9" s="32"/>
      <c r="J9" s="32"/>
      <c r="K9" s="32"/>
      <c r="L9" s="29">
        <f t="shared" si="2"/>
        <v>0</v>
      </c>
      <c r="M9" s="29"/>
      <c r="N9" s="169"/>
      <c r="O9" s="91"/>
      <c r="P9" s="27"/>
      <c r="Q9" s="27">
        <v>6</v>
      </c>
      <c r="R9" s="16" t="s">
        <v>10</v>
      </c>
      <c r="S9" s="13">
        <f>I48</f>
        <v>0</v>
      </c>
    </row>
    <row r="10" spans="1:22" x14ac:dyDescent="0.2">
      <c r="A10" s="9"/>
      <c r="B10" s="25" t="s">
        <v>52</v>
      </c>
      <c r="C10" s="10" t="s">
        <v>123</v>
      </c>
      <c r="D10" s="7"/>
      <c r="E10" s="11">
        <f t="shared" si="0"/>
        <v>0</v>
      </c>
      <c r="F10" s="11">
        <f t="shared" si="1"/>
        <v>0</v>
      </c>
      <c r="G10" s="11"/>
      <c r="H10" s="11"/>
      <c r="I10" s="32"/>
      <c r="J10" s="32"/>
      <c r="K10" s="32"/>
      <c r="L10" s="29">
        <f t="shared" si="2"/>
        <v>0</v>
      </c>
      <c r="M10" s="29"/>
      <c r="N10" s="169"/>
      <c r="O10" s="91"/>
      <c r="P10" s="27"/>
      <c r="Q10" s="27">
        <v>6</v>
      </c>
      <c r="R10" s="16" t="s">
        <v>11</v>
      </c>
      <c r="S10" s="13">
        <f>J48</f>
        <v>0</v>
      </c>
    </row>
    <row r="11" spans="1:22" x14ac:dyDescent="0.2">
      <c r="A11" s="9"/>
      <c r="B11" s="25" t="s">
        <v>97</v>
      </c>
      <c r="C11" s="10" t="s">
        <v>124</v>
      </c>
      <c r="D11" s="7"/>
      <c r="E11" s="11">
        <f t="shared" si="0"/>
        <v>0</v>
      </c>
      <c r="F11" s="11">
        <f t="shared" si="1"/>
        <v>0</v>
      </c>
      <c r="G11" s="11"/>
      <c r="H11" s="11"/>
      <c r="I11" s="32"/>
      <c r="J11" s="32"/>
      <c r="K11" s="32"/>
      <c r="L11" s="29">
        <f t="shared" si="2"/>
        <v>0</v>
      </c>
      <c r="M11" s="29"/>
      <c r="N11" s="169"/>
      <c r="O11" s="91"/>
      <c r="P11" s="27"/>
      <c r="Q11" s="27">
        <v>6</v>
      </c>
      <c r="R11" s="16" t="s">
        <v>12</v>
      </c>
      <c r="S11" s="13">
        <f>K48</f>
        <v>0</v>
      </c>
    </row>
    <row r="12" spans="1:22" x14ac:dyDescent="0.2">
      <c r="A12" s="102"/>
      <c r="B12" s="25" t="s">
        <v>131</v>
      </c>
      <c r="C12" s="10" t="s">
        <v>125</v>
      </c>
      <c r="D12" s="7"/>
      <c r="E12" s="11">
        <f t="shared" si="0"/>
        <v>0</v>
      </c>
      <c r="F12" s="11">
        <f t="shared" si="1"/>
        <v>0</v>
      </c>
      <c r="G12" s="11"/>
      <c r="H12" s="11"/>
      <c r="I12" s="32"/>
      <c r="J12" s="32"/>
      <c r="K12" s="32"/>
      <c r="L12" s="29">
        <f t="shared" si="2"/>
        <v>0</v>
      </c>
      <c r="M12" s="29"/>
      <c r="N12" s="170"/>
      <c r="O12" s="173"/>
      <c r="P12" s="27"/>
      <c r="Q12" s="27"/>
      <c r="R12" s="17" t="s">
        <v>37</v>
      </c>
      <c r="S12" s="14">
        <f>N48</f>
        <v>0</v>
      </c>
    </row>
    <row r="13" spans="1:22" x14ac:dyDescent="0.2">
      <c r="A13" s="102"/>
      <c r="B13" s="25" t="s">
        <v>111</v>
      </c>
      <c r="C13" s="10" t="s">
        <v>126</v>
      </c>
      <c r="D13" s="7"/>
      <c r="E13" s="11">
        <f t="shared" si="0"/>
        <v>0</v>
      </c>
      <c r="F13" s="11">
        <f t="shared" si="1"/>
        <v>0</v>
      </c>
      <c r="G13" s="11"/>
      <c r="H13" s="11"/>
      <c r="I13" s="32"/>
      <c r="J13" s="32"/>
      <c r="K13" s="32"/>
      <c r="L13" s="29">
        <f t="shared" si="2"/>
        <v>0</v>
      </c>
      <c r="M13" s="29"/>
      <c r="N13" s="169"/>
      <c r="O13" s="91"/>
      <c r="P13" s="27"/>
      <c r="Q13" s="27">
        <v>0</v>
      </c>
      <c r="R13" s="18"/>
      <c r="S13" s="30">
        <f>S5+S6+S7-S9-S10-S11-S12</f>
        <v>0</v>
      </c>
      <c r="T13" s="22"/>
    </row>
    <row r="14" spans="1:22" x14ac:dyDescent="0.2">
      <c r="A14" s="9"/>
      <c r="B14" s="25" t="s">
        <v>52</v>
      </c>
      <c r="C14" s="10" t="s">
        <v>191</v>
      </c>
      <c r="D14" s="7"/>
      <c r="E14" s="11">
        <f t="shared" si="0"/>
        <v>0</v>
      </c>
      <c r="F14" s="11">
        <f t="shared" si="1"/>
        <v>0</v>
      </c>
      <c r="G14" s="11"/>
      <c r="H14" s="11"/>
      <c r="I14" s="32"/>
      <c r="J14" s="32"/>
      <c r="K14" s="32"/>
      <c r="L14" s="29">
        <f t="shared" si="2"/>
        <v>0</v>
      </c>
      <c r="M14" s="29"/>
      <c r="N14" s="169"/>
      <c r="O14" s="91"/>
      <c r="P14" s="27"/>
      <c r="Q14" s="27">
        <v>6</v>
      </c>
      <c r="R14" s="19" t="s">
        <v>42</v>
      </c>
      <c r="S14" s="20">
        <f>M48</f>
        <v>0</v>
      </c>
    </row>
    <row r="15" spans="1:22" x14ac:dyDescent="0.2">
      <c r="A15" s="9"/>
      <c r="B15" s="25" t="s">
        <v>47</v>
      </c>
      <c r="C15" s="10" t="s">
        <v>50</v>
      </c>
      <c r="D15" s="7"/>
      <c r="E15" s="11">
        <f t="shared" si="0"/>
        <v>0</v>
      </c>
      <c r="F15" s="11">
        <f t="shared" si="1"/>
        <v>0</v>
      </c>
      <c r="G15" s="11"/>
      <c r="H15" s="11"/>
      <c r="I15" s="32"/>
      <c r="J15" s="32"/>
      <c r="K15" s="32"/>
      <c r="L15" s="29">
        <f t="shared" si="2"/>
        <v>0</v>
      </c>
      <c r="M15" s="29"/>
      <c r="N15" s="169"/>
      <c r="O15" s="91"/>
      <c r="P15" s="27"/>
      <c r="Q15" s="27"/>
    </row>
    <row r="16" spans="1:22" x14ac:dyDescent="0.2">
      <c r="A16" s="9"/>
      <c r="B16" s="25" t="s">
        <v>77</v>
      </c>
      <c r="C16" s="10" t="s">
        <v>129</v>
      </c>
      <c r="D16" s="7"/>
      <c r="E16" s="11">
        <f t="shared" si="0"/>
        <v>0</v>
      </c>
      <c r="F16" s="11">
        <f t="shared" si="1"/>
        <v>0</v>
      </c>
      <c r="G16" s="11"/>
      <c r="H16" s="11"/>
      <c r="I16" s="32"/>
      <c r="J16" s="32"/>
      <c r="K16" s="32"/>
      <c r="L16" s="29">
        <f t="shared" si="2"/>
        <v>0</v>
      </c>
      <c r="M16" s="29"/>
      <c r="N16" s="169"/>
      <c r="O16" s="91"/>
      <c r="P16" s="27"/>
      <c r="Q16" s="27">
        <v>6</v>
      </c>
      <c r="R16" s="35"/>
      <c r="S16" s="35"/>
      <c r="T16" s="35"/>
      <c r="U16" s="35"/>
    </row>
    <row r="17" spans="1:21" x14ac:dyDescent="0.2">
      <c r="A17" s="9"/>
      <c r="B17" s="25" t="s">
        <v>31</v>
      </c>
      <c r="C17" s="10" t="s">
        <v>130</v>
      </c>
      <c r="D17" s="7"/>
      <c r="E17" s="11">
        <f t="shared" si="0"/>
        <v>0</v>
      </c>
      <c r="F17" s="11">
        <f t="shared" si="1"/>
        <v>0</v>
      </c>
      <c r="G17" s="11"/>
      <c r="H17" s="11"/>
      <c r="I17" s="32"/>
      <c r="J17" s="32"/>
      <c r="K17" s="32"/>
      <c r="L17" s="29">
        <f t="shared" si="2"/>
        <v>0</v>
      </c>
      <c r="M17" s="29"/>
      <c r="N17" s="169"/>
      <c r="O17" s="91"/>
      <c r="P17" s="27"/>
      <c r="Q17" s="27">
        <v>6</v>
      </c>
      <c r="R17" s="35"/>
      <c r="S17" s="35"/>
      <c r="T17" s="35"/>
      <c r="U17" s="35"/>
    </row>
    <row r="18" spans="1:21" x14ac:dyDescent="0.2">
      <c r="A18" s="9"/>
      <c r="B18" s="25" t="s">
        <v>131</v>
      </c>
      <c r="C18" s="10" t="s">
        <v>132</v>
      </c>
      <c r="D18" s="7"/>
      <c r="E18" s="11">
        <f t="shared" si="0"/>
        <v>0</v>
      </c>
      <c r="F18" s="11">
        <f t="shared" si="1"/>
        <v>0</v>
      </c>
      <c r="G18" s="11"/>
      <c r="H18" s="11"/>
      <c r="I18" s="32"/>
      <c r="J18" s="32"/>
      <c r="K18" s="32"/>
      <c r="L18" s="29">
        <f t="shared" si="2"/>
        <v>0</v>
      </c>
      <c r="M18" s="29"/>
      <c r="N18" s="169"/>
      <c r="O18" s="91"/>
      <c r="P18" s="27"/>
      <c r="Q18" s="27">
        <v>6</v>
      </c>
      <c r="R18" s="15" t="s">
        <v>51</v>
      </c>
      <c r="S18" s="95">
        <f t="array" ref="S18">SUMPRODUCT((VALUE(B4:B47)&lt;100)*(D4:D47&gt;0))</f>
        <v>0</v>
      </c>
      <c r="T18" s="35"/>
      <c r="U18" s="35"/>
    </row>
    <row r="19" spans="1:21" ht="15.75" customHeight="1" x14ac:dyDescent="0.2">
      <c r="A19" s="9"/>
      <c r="B19" s="25" t="s">
        <v>89</v>
      </c>
      <c r="C19" s="10" t="s">
        <v>133</v>
      </c>
      <c r="D19" s="7"/>
      <c r="E19" s="11">
        <f t="shared" si="0"/>
        <v>0</v>
      </c>
      <c r="F19" s="11">
        <f t="shared" si="1"/>
        <v>0</v>
      </c>
      <c r="G19" s="11"/>
      <c r="H19" s="11"/>
      <c r="I19" s="32"/>
      <c r="J19" s="32"/>
      <c r="K19" s="32"/>
      <c r="L19" s="29">
        <f t="shared" si="2"/>
        <v>0</v>
      </c>
      <c r="M19" s="29"/>
      <c r="N19" s="169"/>
      <c r="O19" s="91"/>
      <c r="P19" s="27"/>
      <c r="Q19" s="27">
        <v>6</v>
      </c>
      <c r="R19" s="16" t="s">
        <v>54</v>
      </c>
      <c r="S19" s="96">
        <f t="array" ref="S19">SUMPRODUCT((VALUE(B4:B47)&gt;100)*(D4:D47&gt;0))</f>
        <v>0</v>
      </c>
      <c r="T19" s="35"/>
      <c r="U19" s="35"/>
    </row>
    <row r="20" spans="1:21" x14ac:dyDescent="0.2">
      <c r="A20" s="9"/>
      <c r="B20" s="25" t="s">
        <v>134</v>
      </c>
      <c r="C20" s="10" t="s">
        <v>135</v>
      </c>
      <c r="D20" s="7"/>
      <c r="E20" s="11">
        <f t="shared" si="0"/>
        <v>0</v>
      </c>
      <c r="F20" s="11">
        <f t="shared" si="1"/>
        <v>0</v>
      </c>
      <c r="G20" s="11"/>
      <c r="H20" s="11"/>
      <c r="I20" s="32"/>
      <c r="J20" s="32"/>
      <c r="K20" s="32"/>
      <c r="L20" s="29">
        <f t="shared" si="2"/>
        <v>0</v>
      </c>
      <c r="M20" s="29"/>
      <c r="N20" s="169"/>
      <c r="O20" s="91"/>
      <c r="P20" s="27"/>
      <c r="Q20" s="27"/>
      <c r="R20" s="17" t="s">
        <v>57</v>
      </c>
      <c r="S20" s="97">
        <f>S18+S19</f>
        <v>0</v>
      </c>
      <c r="T20" s="35"/>
      <c r="U20" s="35"/>
    </row>
    <row r="21" spans="1:21" x14ac:dyDescent="0.2">
      <c r="A21" s="9"/>
      <c r="B21" s="25" t="s">
        <v>145</v>
      </c>
      <c r="C21" s="10" t="s">
        <v>192</v>
      </c>
      <c r="D21" s="7"/>
      <c r="E21" s="11">
        <f t="shared" si="0"/>
        <v>0</v>
      </c>
      <c r="F21" s="11">
        <f t="shared" si="1"/>
        <v>0</v>
      </c>
      <c r="G21" s="11"/>
      <c r="H21" s="11"/>
      <c r="I21" s="32"/>
      <c r="J21" s="32"/>
      <c r="K21" s="32"/>
      <c r="L21" s="29">
        <f t="shared" si="2"/>
        <v>0</v>
      </c>
      <c r="M21" s="29"/>
      <c r="N21" s="169"/>
      <c r="O21" s="91"/>
      <c r="P21" s="27" t="s">
        <v>59</v>
      </c>
      <c r="Q21" s="27">
        <v>0</v>
      </c>
      <c r="R21" s="35"/>
      <c r="S21" s="35"/>
      <c r="T21" s="35"/>
      <c r="U21" s="35"/>
    </row>
    <row r="22" spans="1:21" x14ac:dyDescent="0.2">
      <c r="A22" s="9"/>
      <c r="B22" s="25" t="s">
        <v>131</v>
      </c>
      <c r="C22" s="10" t="s">
        <v>137</v>
      </c>
      <c r="D22" s="7"/>
      <c r="E22" s="11">
        <f t="shared" si="0"/>
        <v>0</v>
      </c>
      <c r="F22" s="11">
        <f t="shared" si="1"/>
        <v>0</v>
      </c>
      <c r="G22" s="11"/>
      <c r="H22" s="11"/>
      <c r="I22" s="32"/>
      <c r="J22" s="32"/>
      <c r="K22" s="32"/>
      <c r="L22" s="29">
        <f t="shared" si="2"/>
        <v>0</v>
      </c>
      <c r="M22" s="29"/>
      <c r="N22" s="169"/>
      <c r="O22" s="91"/>
      <c r="P22" s="27"/>
      <c r="Q22" s="27">
        <v>6</v>
      </c>
    </row>
    <row r="23" spans="1:21" x14ac:dyDescent="0.2">
      <c r="A23" s="9"/>
      <c r="B23" s="25" t="s">
        <v>77</v>
      </c>
      <c r="C23" s="10" t="s">
        <v>139</v>
      </c>
      <c r="D23" s="7"/>
      <c r="E23" s="11">
        <f t="shared" si="0"/>
        <v>0</v>
      </c>
      <c r="F23" s="11">
        <f t="shared" si="1"/>
        <v>0</v>
      </c>
      <c r="G23" s="11"/>
      <c r="H23" s="11"/>
      <c r="I23" s="32"/>
      <c r="J23" s="32"/>
      <c r="K23" s="32"/>
      <c r="L23" s="29">
        <f t="shared" si="2"/>
        <v>0</v>
      </c>
      <c r="M23" s="29"/>
      <c r="N23" s="169"/>
      <c r="O23" s="91"/>
      <c r="P23" s="98"/>
      <c r="Q23" s="98">
        <v>6</v>
      </c>
    </row>
    <row r="24" spans="1:21" x14ac:dyDescent="0.2">
      <c r="A24" s="9"/>
      <c r="B24" s="25" t="s">
        <v>111</v>
      </c>
      <c r="C24" s="10" t="s">
        <v>170</v>
      </c>
      <c r="D24" s="7"/>
      <c r="E24" s="11">
        <f t="shared" si="0"/>
        <v>0</v>
      </c>
      <c r="F24" s="11">
        <f t="shared" si="1"/>
        <v>0</v>
      </c>
      <c r="G24" s="11"/>
      <c r="H24" s="11"/>
      <c r="I24" s="32"/>
      <c r="J24" s="32"/>
      <c r="K24" s="32"/>
      <c r="L24" s="29">
        <f t="shared" si="2"/>
        <v>0</v>
      </c>
      <c r="M24" s="29"/>
      <c r="N24" s="169"/>
      <c r="O24" s="91"/>
      <c r="P24" s="27" t="s">
        <v>59</v>
      </c>
      <c r="Q24" s="27">
        <v>0</v>
      </c>
    </row>
    <row r="25" spans="1:21" x14ac:dyDescent="0.2">
      <c r="A25" s="9"/>
      <c r="B25" s="25" t="s">
        <v>142</v>
      </c>
      <c r="C25" s="10" t="s">
        <v>143</v>
      </c>
      <c r="D25" s="7"/>
      <c r="E25" s="11">
        <f t="shared" si="0"/>
        <v>0</v>
      </c>
      <c r="F25" s="11">
        <f t="shared" si="1"/>
        <v>0</v>
      </c>
      <c r="G25" s="11"/>
      <c r="H25" s="11"/>
      <c r="I25" s="32"/>
      <c r="J25" s="32"/>
      <c r="K25" s="32"/>
      <c r="L25" s="29">
        <f t="shared" si="2"/>
        <v>0</v>
      </c>
      <c r="M25" s="29"/>
      <c r="N25" s="169"/>
      <c r="O25" s="91"/>
      <c r="P25" s="27"/>
      <c r="Q25" s="27">
        <v>0</v>
      </c>
    </row>
    <row r="26" spans="1:21" x14ac:dyDescent="0.2">
      <c r="A26" s="9"/>
      <c r="B26" s="25" t="s">
        <v>27</v>
      </c>
      <c r="C26" s="10" t="s">
        <v>141</v>
      </c>
      <c r="D26" s="7"/>
      <c r="E26" s="11">
        <f t="shared" si="0"/>
        <v>0</v>
      </c>
      <c r="F26" s="11">
        <f t="shared" si="1"/>
        <v>0</v>
      </c>
      <c r="G26" s="11"/>
      <c r="H26" s="11"/>
      <c r="I26" s="32"/>
      <c r="J26" s="32"/>
      <c r="K26" s="32"/>
      <c r="L26" s="29">
        <f t="shared" si="2"/>
        <v>0</v>
      </c>
      <c r="M26" s="29"/>
      <c r="N26" s="169"/>
      <c r="O26" s="91"/>
      <c r="P26" s="27" t="s">
        <v>59</v>
      </c>
      <c r="Q26" s="168">
        <v>0</v>
      </c>
    </row>
    <row r="27" spans="1:21" x14ac:dyDescent="0.2">
      <c r="A27" s="9"/>
      <c r="B27" s="25" t="s">
        <v>165</v>
      </c>
      <c r="C27" s="10" t="s">
        <v>166</v>
      </c>
      <c r="D27" s="7"/>
      <c r="E27" s="11">
        <f t="shared" si="0"/>
        <v>0</v>
      </c>
      <c r="F27" s="11">
        <f t="shared" si="1"/>
        <v>0</v>
      </c>
      <c r="G27" s="11"/>
      <c r="H27" s="11"/>
      <c r="I27" s="32"/>
      <c r="J27" s="32"/>
      <c r="K27" s="32"/>
      <c r="L27" s="29">
        <f t="shared" si="2"/>
        <v>0</v>
      </c>
      <c r="M27" s="29"/>
      <c r="N27" s="169"/>
      <c r="O27" s="91"/>
      <c r="R27" s="212"/>
      <c r="S27" s="213"/>
    </row>
    <row r="28" spans="1:21" x14ac:dyDescent="0.2">
      <c r="A28" s="9"/>
      <c r="B28" s="25" t="s">
        <v>27</v>
      </c>
      <c r="C28" s="10" t="s">
        <v>136</v>
      </c>
      <c r="D28" s="7"/>
      <c r="E28" s="11">
        <f t="shared" si="0"/>
        <v>0</v>
      </c>
      <c r="F28" s="11">
        <f t="shared" si="1"/>
        <v>0</v>
      </c>
      <c r="G28" s="11"/>
      <c r="H28" s="11"/>
      <c r="I28" s="32"/>
      <c r="J28" s="32"/>
      <c r="K28" s="32"/>
      <c r="L28" s="29">
        <f t="shared" si="2"/>
        <v>0</v>
      </c>
      <c r="M28" s="29"/>
      <c r="N28" s="169"/>
      <c r="O28" s="91"/>
      <c r="P28" s="27"/>
      <c r="Q28" s="27">
        <v>0</v>
      </c>
      <c r="S28" s="22"/>
      <c r="T28" s="27">
        <v>1</v>
      </c>
    </row>
    <row r="29" spans="1:21" x14ac:dyDescent="0.2">
      <c r="A29" s="9"/>
      <c r="B29" s="25" t="s">
        <v>97</v>
      </c>
      <c r="C29" s="10" t="s">
        <v>149</v>
      </c>
      <c r="D29" s="7"/>
      <c r="E29" s="11">
        <f t="shared" si="0"/>
        <v>0</v>
      </c>
      <c r="F29" s="11">
        <f t="shared" si="1"/>
        <v>0</v>
      </c>
      <c r="G29" s="11"/>
      <c r="H29" s="11"/>
      <c r="I29" s="32"/>
      <c r="J29" s="32"/>
      <c r="K29" s="32"/>
      <c r="L29" s="29">
        <f t="shared" si="2"/>
        <v>0</v>
      </c>
      <c r="M29" s="29"/>
      <c r="N29" s="169"/>
      <c r="O29" s="91"/>
      <c r="S29" s="22"/>
      <c r="T29" s="27">
        <v>0</v>
      </c>
    </row>
    <row r="30" spans="1:21" x14ac:dyDescent="0.2">
      <c r="A30" s="9"/>
      <c r="B30" s="25" t="s">
        <v>55</v>
      </c>
      <c r="C30" s="10" t="s">
        <v>148</v>
      </c>
      <c r="D30" s="7"/>
      <c r="E30" s="11">
        <f t="shared" si="0"/>
        <v>0</v>
      </c>
      <c r="F30" s="11">
        <f t="shared" si="1"/>
        <v>0</v>
      </c>
      <c r="G30" s="11"/>
      <c r="H30" s="11"/>
      <c r="I30" s="32"/>
      <c r="J30" s="32"/>
      <c r="K30" s="32"/>
      <c r="L30" s="29">
        <f t="shared" si="2"/>
        <v>0</v>
      </c>
      <c r="M30" s="29"/>
      <c r="N30" s="169"/>
      <c r="O30" s="91"/>
      <c r="P30" s="168"/>
      <c r="S30" s="22"/>
    </row>
    <row r="31" spans="1:21" x14ac:dyDescent="0.2">
      <c r="A31" s="9"/>
      <c r="B31" s="25" t="s">
        <v>31</v>
      </c>
      <c r="C31" s="10" t="s">
        <v>140</v>
      </c>
      <c r="D31" s="7"/>
      <c r="E31" s="11">
        <f t="shared" si="0"/>
        <v>0</v>
      </c>
      <c r="F31" s="11">
        <f t="shared" si="1"/>
        <v>0</v>
      </c>
      <c r="G31" s="11"/>
      <c r="H31" s="11"/>
      <c r="I31" s="32"/>
      <c r="J31" s="32"/>
      <c r="K31" s="32"/>
      <c r="L31" s="29">
        <f t="shared" si="2"/>
        <v>0</v>
      </c>
      <c r="M31" s="29"/>
      <c r="N31" s="169"/>
      <c r="O31" s="91"/>
      <c r="P31" s="168"/>
      <c r="Q31" s="168">
        <v>6</v>
      </c>
      <c r="R31" s="18"/>
      <c r="S31" s="3"/>
    </row>
    <row r="32" spans="1:21" x14ac:dyDescent="0.2">
      <c r="A32" s="9"/>
      <c r="B32" s="25" t="s">
        <v>182</v>
      </c>
      <c r="C32" s="10" t="s">
        <v>183</v>
      </c>
      <c r="D32" s="7"/>
      <c r="E32" s="11">
        <f t="shared" si="0"/>
        <v>0</v>
      </c>
      <c r="F32" s="11">
        <f t="shared" si="1"/>
        <v>0</v>
      </c>
      <c r="G32" s="11"/>
      <c r="H32" s="11"/>
      <c r="I32" s="32"/>
      <c r="J32" s="32"/>
      <c r="K32" s="32"/>
      <c r="L32" s="29">
        <f t="shared" si="2"/>
        <v>0</v>
      </c>
      <c r="M32" s="29"/>
      <c r="N32" s="169"/>
      <c r="O32" s="91"/>
    </row>
    <row r="33" spans="1:19" x14ac:dyDescent="0.2">
      <c r="A33" s="9"/>
      <c r="B33" s="25" t="s">
        <v>180</v>
      </c>
      <c r="C33" s="10" t="s">
        <v>181</v>
      </c>
      <c r="D33" s="7"/>
      <c r="E33" s="11">
        <f t="shared" si="0"/>
        <v>0</v>
      </c>
      <c r="F33" s="11">
        <f t="shared" si="1"/>
        <v>0</v>
      </c>
      <c r="G33" s="11"/>
      <c r="H33" s="11"/>
      <c r="I33" s="32"/>
      <c r="J33" s="32"/>
      <c r="K33" s="32"/>
      <c r="L33" s="29">
        <f t="shared" si="2"/>
        <v>0</v>
      </c>
      <c r="M33" s="29"/>
      <c r="N33" s="169"/>
      <c r="O33" s="91"/>
    </row>
    <row r="34" spans="1:19" x14ac:dyDescent="0.2">
      <c r="A34" s="9"/>
      <c r="B34" s="25" t="s">
        <v>152</v>
      </c>
      <c r="C34" s="10" t="s">
        <v>153</v>
      </c>
      <c r="D34" s="7"/>
      <c r="E34" s="11">
        <f t="shared" si="0"/>
        <v>0</v>
      </c>
      <c r="F34" s="11">
        <f t="shared" si="1"/>
        <v>0</v>
      </c>
      <c r="G34" s="11"/>
      <c r="H34" s="11"/>
      <c r="I34" s="32"/>
      <c r="J34" s="32"/>
      <c r="K34" s="32"/>
      <c r="L34" s="29">
        <f t="shared" si="2"/>
        <v>0</v>
      </c>
      <c r="M34" s="29"/>
      <c r="N34" s="169"/>
      <c r="O34" s="91"/>
      <c r="R34" s="18"/>
      <c r="S34" s="1"/>
    </row>
    <row r="35" spans="1:19" x14ac:dyDescent="0.2">
      <c r="A35" s="9"/>
      <c r="B35" s="25" t="s">
        <v>193</v>
      </c>
      <c r="C35" s="10" t="s">
        <v>194</v>
      </c>
      <c r="D35" s="7"/>
      <c r="E35" s="11">
        <f t="shared" si="0"/>
        <v>0</v>
      </c>
      <c r="F35" s="11">
        <f t="shared" si="1"/>
        <v>0</v>
      </c>
      <c r="G35" s="11"/>
      <c r="H35" s="11"/>
      <c r="I35" s="32"/>
      <c r="J35" s="32"/>
      <c r="K35" s="32"/>
      <c r="L35" s="29">
        <f t="shared" si="2"/>
        <v>0</v>
      </c>
      <c r="M35" s="29"/>
      <c r="N35" s="169"/>
      <c r="O35" s="91"/>
      <c r="R35" s="18"/>
      <c r="S35" s="1"/>
    </row>
    <row r="36" spans="1:19" x14ac:dyDescent="0.2">
      <c r="A36" s="9"/>
      <c r="B36" s="25" t="s">
        <v>25</v>
      </c>
      <c r="C36" s="10" t="s">
        <v>26</v>
      </c>
      <c r="D36" s="7"/>
      <c r="E36" s="11">
        <f t="shared" si="0"/>
        <v>0</v>
      </c>
      <c r="F36" s="11">
        <f t="shared" si="1"/>
        <v>0</v>
      </c>
      <c r="G36" s="11"/>
      <c r="H36" s="11"/>
      <c r="I36" s="32"/>
      <c r="J36" s="32"/>
      <c r="K36" s="32"/>
      <c r="L36" s="29">
        <f t="shared" si="2"/>
        <v>0</v>
      </c>
      <c r="M36" s="29"/>
      <c r="N36" s="169"/>
      <c r="O36" s="91"/>
      <c r="R36" s="18"/>
      <c r="S36" s="1"/>
    </row>
    <row r="37" spans="1:19" x14ac:dyDescent="0.2">
      <c r="A37" s="102"/>
      <c r="B37" s="25" t="s">
        <v>131</v>
      </c>
      <c r="C37" s="10" t="s">
        <v>100</v>
      </c>
      <c r="D37" s="7"/>
      <c r="E37" s="11">
        <f t="shared" si="0"/>
        <v>0</v>
      </c>
      <c r="F37" s="11">
        <f t="shared" si="1"/>
        <v>0</v>
      </c>
      <c r="G37" s="11"/>
      <c r="H37" s="11"/>
      <c r="I37" s="32"/>
      <c r="J37" s="32"/>
      <c r="K37" s="32"/>
      <c r="L37" s="29">
        <f t="shared" si="2"/>
        <v>0</v>
      </c>
      <c r="M37" s="29"/>
      <c r="N37" s="169"/>
      <c r="O37" s="91"/>
    </row>
    <row r="38" spans="1:19" x14ac:dyDescent="0.2">
      <c r="A38" s="9"/>
      <c r="B38" s="25"/>
      <c r="C38" s="10"/>
      <c r="D38" s="7"/>
      <c r="E38" s="11">
        <f t="shared" si="0"/>
        <v>0</v>
      </c>
      <c r="F38" s="11">
        <f t="shared" si="1"/>
        <v>0</v>
      </c>
      <c r="G38" s="11"/>
      <c r="H38" s="11"/>
      <c r="I38" s="32"/>
      <c r="J38" s="32"/>
      <c r="K38" s="32"/>
      <c r="L38" s="29">
        <f t="shared" si="2"/>
        <v>0</v>
      </c>
      <c r="M38" s="29"/>
      <c r="N38" s="169"/>
      <c r="O38" s="91"/>
    </row>
    <row r="39" spans="1:19" x14ac:dyDescent="0.2">
      <c r="A39" s="9"/>
      <c r="B39" s="25"/>
      <c r="C39" s="10"/>
      <c r="D39" s="7"/>
      <c r="E39" s="11">
        <f t="shared" si="0"/>
        <v>0</v>
      </c>
      <c r="F39" s="11">
        <f t="shared" si="1"/>
        <v>0</v>
      </c>
      <c r="G39" s="11"/>
      <c r="H39" s="11"/>
      <c r="I39" s="32"/>
      <c r="J39" s="32"/>
      <c r="K39" s="32"/>
      <c r="L39" s="29">
        <f t="shared" si="2"/>
        <v>0</v>
      </c>
      <c r="M39" s="29"/>
      <c r="N39" s="169"/>
      <c r="O39" s="91"/>
    </row>
    <row r="40" spans="1:19" x14ac:dyDescent="0.2">
      <c r="A40" s="9"/>
      <c r="B40" s="25"/>
      <c r="C40" s="10"/>
      <c r="D40" s="7"/>
      <c r="E40" s="11">
        <f t="shared" si="0"/>
        <v>0</v>
      </c>
      <c r="F40" s="11">
        <f t="shared" si="1"/>
        <v>0</v>
      </c>
      <c r="G40" s="11"/>
      <c r="H40" s="11"/>
      <c r="I40" s="32"/>
      <c r="J40" s="32"/>
      <c r="K40" s="32"/>
      <c r="L40" s="29">
        <f t="shared" si="2"/>
        <v>0</v>
      </c>
      <c r="M40" s="29"/>
      <c r="N40" s="169"/>
      <c r="O40" s="91"/>
    </row>
    <row r="41" spans="1:19" x14ac:dyDescent="0.2">
      <c r="A41" s="9"/>
      <c r="B41" s="25"/>
      <c r="C41" s="10"/>
      <c r="D41" s="8"/>
      <c r="E41" s="11">
        <f t="shared" si="0"/>
        <v>0</v>
      </c>
      <c r="F41" s="11">
        <f t="shared" si="1"/>
        <v>0</v>
      </c>
      <c r="G41" s="11"/>
      <c r="H41" s="11"/>
      <c r="I41" s="33"/>
      <c r="J41" s="33"/>
      <c r="K41" s="33"/>
      <c r="L41" s="29">
        <f t="shared" si="2"/>
        <v>0</v>
      </c>
      <c r="M41" s="29"/>
      <c r="N41" s="171"/>
      <c r="O41" s="25"/>
    </row>
    <row r="42" spans="1:19" x14ac:dyDescent="0.2">
      <c r="A42" s="102"/>
      <c r="B42" s="25"/>
      <c r="C42" s="10"/>
      <c r="D42" s="7"/>
      <c r="E42" s="11">
        <f t="shared" si="0"/>
        <v>0</v>
      </c>
      <c r="F42" s="11">
        <f t="shared" si="1"/>
        <v>0</v>
      </c>
      <c r="G42" s="11"/>
      <c r="H42" s="11"/>
      <c r="I42" s="32"/>
      <c r="J42" s="32"/>
      <c r="K42" s="32"/>
      <c r="L42" s="29">
        <f t="shared" si="2"/>
        <v>0</v>
      </c>
      <c r="M42" s="29"/>
      <c r="N42" s="169"/>
      <c r="O42" s="91"/>
    </row>
    <row r="43" spans="1:19" x14ac:dyDescent="0.2">
      <c r="A43" s="9"/>
      <c r="B43" s="25"/>
      <c r="C43" s="10"/>
      <c r="D43" s="7"/>
      <c r="E43" s="11">
        <f t="shared" si="0"/>
        <v>0</v>
      </c>
      <c r="F43" s="11">
        <f t="shared" si="1"/>
        <v>0</v>
      </c>
      <c r="G43" s="11"/>
      <c r="H43" s="11"/>
      <c r="I43" s="32"/>
      <c r="J43" s="32"/>
      <c r="K43" s="32"/>
      <c r="L43" s="29">
        <f t="shared" si="2"/>
        <v>0</v>
      </c>
      <c r="M43" s="29"/>
      <c r="N43" s="169"/>
      <c r="O43" s="91"/>
    </row>
    <row r="44" spans="1:19" x14ac:dyDescent="0.2">
      <c r="A44" s="9"/>
      <c r="B44" s="25"/>
      <c r="C44" s="10"/>
      <c r="D44" s="7"/>
      <c r="E44" s="11">
        <f t="shared" si="0"/>
        <v>0</v>
      </c>
      <c r="F44" s="11">
        <f t="shared" si="1"/>
        <v>0</v>
      </c>
      <c r="G44" s="11"/>
      <c r="H44" s="11"/>
      <c r="I44" s="32"/>
      <c r="J44" s="32"/>
      <c r="K44" s="32"/>
      <c r="L44" s="29">
        <f t="shared" si="2"/>
        <v>0</v>
      </c>
      <c r="M44" s="29"/>
      <c r="N44" s="169"/>
      <c r="O44" s="91"/>
    </row>
    <row r="45" spans="1:19" x14ac:dyDescent="0.2">
      <c r="A45" s="9"/>
      <c r="B45" s="103"/>
      <c r="C45" s="10"/>
      <c r="D45" s="7"/>
      <c r="E45" s="11">
        <f t="shared" si="0"/>
        <v>0</v>
      </c>
      <c r="F45" s="11">
        <f t="shared" si="1"/>
        <v>0</v>
      </c>
      <c r="G45" s="11"/>
      <c r="H45" s="11"/>
      <c r="I45" s="32"/>
      <c r="J45" s="32"/>
      <c r="K45" s="32"/>
      <c r="L45" s="29">
        <f t="shared" si="2"/>
        <v>0</v>
      </c>
      <c r="M45" s="29"/>
      <c r="N45" s="169"/>
      <c r="O45" s="91"/>
    </row>
    <row r="46" spans="1:19" x14ac:dyDescent="0.2">
      <c r="A46" s="9"/>
      <c r="B46" s="25"/>
      <c r="C46" s="10"/>
      <c r="D46" s="7"/>
      <c r="E46" s="11">
        <f t="shared" si="0"/>
        <v>0</v>
      </c>
      <c r="F46" s="11">
        <f t="shared" si="1"/>
        <v>0</v>
      </c>
      <c r="G46" s="11"/>
      <c r="H46" s="11"/>
      <c r="I46" s="32"/>
      <c r="J46" s="32"/>
      <c r="K46" s="32"/>
      <c r="L46" s="29">
        <f t="shared" si="2"/>
        <v>0</v>
      </c>
      <c r="M46" s="29"/>
      <c r="N46" s="169"/>
      <c r="O46" s="91"/>
    </row>
    <row r="47" spans="1:19" x14ac:dyDescent="0.2">
      <c r="A47" s="9"/>
      <c r="B47" s="25"/>
      <c r="C47" s="10"/>
      <c r="D47" s="7"/>
      <c r="E47" s="11">
        <f t="shared" si="0"/>
        <v>0</v>
      </c>
      <c r="F47" s="11">
        <f t="shared" si="1"/>
        <v>0</v>
      </c>
      <c r="G47" s="11"/>
      <c r="H47" s="11"/>
      <c r="I47" s="32"/>
      <c r="J47" s="32"/>
      <c r="K47" s="32"/>
      <c r="L47" s="29">
        <f t="shared" si="2"/>
        <v>0</v>
      </c>
      <c r="M47" s="29"/>
      <c r="N47" s="169"/>
      <c r="O47" s="91"/>
    </row>
    <row r="48" spans="1:19" x14ac:dyDescent="0.2">
      <c r="D48" s="3">
        <f t="shared" ref="D48:N48" si="3">SUM(D4:D47)</f>
        <v>0</v>
      </c>
      <c r="E48" s="21">
        <f t="shared" si="3"/>
        <v>0</v>
      </c>
      <c r="F48" s="3">
        <f t="shared" si="3"/>
        <v>0</v>
      </c>
      <c r="G48" s="3">
        <f t="shared" si="3"/>
        <v>0</v>
      </c>
      <c r="H48" s="3">
        <f t="shared" si="3"/>
        <v>0</v>
      </c>
      <c r="I48" s="3">
        <f t="shared" si="3"/>
        <v>0</v>
      </c>
      <c r="J48" s="3">
        <f t="shared" si="3"/>
        <v>0</v>
      </c>
      <c r="K48" s="3">
        <f t="shared" si="3"/>
        <v>0</v>
      </c>
      <c r="L48" s="3">
        <f t="shared" si="3"/>
        <v>0</v>
      </c>
      <c r="M48" s="3">
        <f t="shared" si="3"/>
        <v>0</v>
      </c>
      <c r="N48" s="3">
        <f t="shared" si="3"/>
        <v>0</v>
      </c>
      <c r="O48" s="174"/>
    </row>
  </sheetData>
  <mergeCells count="1">
    <mergeCell ref="R27:S27"/>
  </mergeCells>
  <conditionalFormatting sqref="C4:C32">
    <cfRule type="expression" dxfId="22" priority="2">
      <formula>$M4&lt;0</formula>
    </cfRule>
  </conditionalFormatting>
  <conditionalFormatting sqref="C34:C47">
    <cfRule type="expression" dxfId="21" priority="1">
      <formula>$M34&lt;0</formula>
    </cfRule>
  </conditionalFormatting>
  <conditionalFormatting sqref="M4:M47">
    <cfRule type="cellIs" dxfId="20" priority="25" operator="lessThan">
      <formula>0</formula>
    </cfRule>
  </conditionalFormatting>
  <pageMargins left="0.7" right="0.7" top="0.75" bottom="0.75" header="0.3" footer="0.3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V53"/>
  <sheetViews>
    <sheetView showGridLines="0" workbookViewId="0">
      <selection activeCell="R40" sqref="R40"/>
    </sheetView>
  </sheetViews>
  <sheetFormatPr baseColWidth="10" defaultColWidth="8.83203125" defaultRowHeight="15" x14ac:dyDescent="0.2"/>
  <cols>
    <col min="1" max="1" width="6.33203125" style="1" customWidth="1"/>
    <col min="2" max="2" width="12.1640625" style="26" customWidth="1"/>
    <col min="3" max="3" width="18.5" style="1" bestFit="1" customWidth="1"/>
    <col min="4" max="14" width="12.1640625" customWidth="1"/>
    <col min="15" max="15" width="13" customWidth="1"/>
    <col min="16" max="17" width="6" style="1" customWidth="1"/>
    <col min="18" max="18" width="12.5" bestFit="1" customWidth="1"/>
    <col min="19" max="19" width="10.6640625" customWidth="1"/>
  </cols>
  <sheetData>
    <row r="1" spans="1:22" x14ac:dyDescent="0.2">
      <c r="A1" s="4" t="s">
        <v>0</v>
      </c>
      <c r="B1" s="108">
        <f>'Mon AM'!B1+6</f>
        <v>46124</v>
      </c>
      <c r="C1" s="208"/>
      <c r="D1" s="4" t="s">
        <v>1</v>
      </c>
      <c r="E1" s="6" t="s">
        <v>2</v>
      </c>
    </row>
    <row r="3" spans="1:22" x14ac:dyDescent="0.2">
      <c r="A3" s="4"/>
      <c r="B3" s="23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101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28" t="s">
        <v>16</v>
      </c>
      <c r="P3" s="27"/>
      <c r="Q3" s="27"/>
    </row>
    <row r="4" spans="1:22" x14ac:dyDescent="0.2">
      <c r="A4" s="10"/>
      <c r="B4" s="24" t="s">
        <v>17</v>
      </c>
      <c r="C4" s="10" t="s">
        <v>18</v>
      </c>
      <c r="D4" s="11"/>
      <c r="E4" s="11">
        <f t="shared" ref="E4:E47" si="0">IF(AND(VALUE(B4)&lt;100, D4&gt;0),D4*0.5,D4*0.25)</f>
        <v>0</v>
      </c>
      <c r="F4" s="11">
        <f t="shared" ref="F4:F47" si="1">IF(P4="C",Q4,IF(AND(VALUE(B4)&lt;100, D4&gt;0),12,IF(D4&gt;0,2,0)))</f>
        <v>0</v>
      </c>
      <c r="G4" s="11"/>
      <c r="H4" s="11"/>
      <c r="I4" s="31"/>
      <c r="J4" s="31"/>
      <c r="K4" s="31"/>
      <c r="L4" s="29">
        <f t="shared" ref="L4:L47" si="2">(E4+F4+G4+H4)-I4-J4-K4</f>
        <v>0</v>
      </c>
      <c r="M4" s="29"/>
      <c r="N4" s="169"/>
      <c r="O4" s="172"/>
      <c r="P4" s="27"/>
      <c r="Q4" s="27"/>
      <c r="R4" s="15" t="s">
        <v>19</v>
      </c>
      <c r="S4" s="12">
        <f>D48</f>
        <v>0</v>
      </c>
      <c r="U4" s="36"/>
      <c r="V4" s="1"/>
    </row>
    <row r="5" spans="1:22" x14ac:dyDescent="0.2">
      <c r="A5" s="9"/>
      <c r="B5" s="25" t="s">
        <v>20</v>
      </c>
      <c r="C5" s="10" t="s">
        <v>21</v>
      </c>
      <c r="D5" s="7"/>
      <c r="E5" s="11">
        <f t="shared" si="0"/>
        <v>0</v>
      </c>
      <c r="F5" s="11">
        <f t="shared" si="1"/>
        <v>0</v>
      </c>
      <c r="G5" s="11"/>
      <c r="H5" s="11"/>
      <c r="I5" s="32"/>
      <c r="J5" s="32"/>
      <c r="K5" s="32"/>
      <c r="L5" s="29">
        <f t="shared" si="2"/>
        <v>0</v>
      </c>
      <c r="M5" s="29"/>
      <c r="N5" s="169"/>
      <c r="O5" s="91"/>
      <c r="P5" s="27"/>
      <c r="Q5" s="27"/>
      <c r="R5" s="16" t="s">
        <v>22</v>
      </c>
      <c r="S5" s="13">
        <f>E48</f>
        <v>0</v>
      </c>
      <c r="U5" s="1"/>
      <c r="V5" s="1"/>
    </row>
    <row r="6" spans="1:22" x14ac:dyDescent="0.2">
      <c r="A6" s="9"/>
      <c r="B6" s="25" t="s">
        <v>23</v>
      </c>
      <c r="C6" s="10" t="s">
        <v>24</v>
      </c>
      <c r="D6" s="7"/>
      <c r="E6" s="11">
        <f t="shared" si="0"/>
        <v>0</v>
      </c>
      <c r="F6" s="11">
        <f t="shared" si="1"/>
        <v>0</v>
      </c>
      <c r="G6" s="11"/>
      <c r="H6" s="11"/>
      <c r="I6" s="32"/>
      <c r="J6" s="32"/>
      <c r="K6" s="32"/>
      <c r="L6" s="29">
        <f t="shared" si="2"/>
        <v>0</v>
      </c>
      <c r="M6" s="29"/>
      <c r="N6" s="169"/>
      <c r="O6" s="91"/>
      <c r="P6" s="27"/>
      <c r="Q6" s="27">
        <v>6</v>
      </c>
      <c r="R6" s="16" t="s">
        <v>7</v>
      </c>
      <c r="S6" s="13">
        <f>F48</f>
        <v>0</v>
      </c>
      <c r="U6" s="22"/>
    </row>
    <row r="7" spans="1:22" x14ac:dyDescent="0.2">
      <c r="A7" s="9"/>
      <c r="B7" s="25" t="s">
        <v>25</v>
      </c>
      <c r="C7" s="10" t="s">
        <v>26</v>
      </c>
      <c r="D7" s="7"/>
      <c r="E7" s="11">
        <f t="shared" si="0"/>
        <v>0</v>
      </c>
      <c r="F7" s="11">
        <f t="shared" si="1"/>
        <v>0</v>
      </c>
      <c r="G7" s="11"/>
      <c r="H7" s="11"/>
      <c r="I7" s="32"/>
      <c r="J7" s="32"/>
      <c r="K7" s="32"/>
      <c r="L7" s="29">
        <f t="shared" si="2"/>
        <v>0</v>
      </c>
      <c r="M7" s="29"/>
      <c r="N7" s="169"/>
      <c r="O7" s="91"/>
      <c r="P7" s="27"/>
      <c r="Q7" s="27">
        <v>6</v>
      </c>
      <c r="R7" s="16" t="s">
        <v>8</v>
      </c>
      <c r="S7" s="13">
        <f>G48</f>
        <v>0</v>
      </c>
      <c r="U7" s="22"/>
    </row>
    <row r="8" spans="1:22" x14ac:dyDescent="0.2">
      <c r="A8" s="9"/>
      <c r="B8" s="25" t="s">
        <v>27</v>
      </c>
      <c r="C8" s="10" t="s">
        <v>28</v>
      </c>
      <c r="D8" s="7"/>
      <c r="E8" s="11">
        <f t="shared" si="0"/>
        <v>0</v>
      </c>
      <c r="F8" s="11">
        <f t="shared" si="1"/>
        <v>0</v>
      </c>
      <c r="G8" s="11"/>
      <c r="H8" s="11"/>
      <c r="I8" s="32"/>
      <c r="J8" s="32"/>
      <c r="K8" s="32"/>
      <c r="L8" s="29">
        <f t="shared" si="2"/>
        <v>0</v>
      </c>
      <c r="M8" s="29"/>
      <c r="N8" s="169"/>
      <c r="O8" s="91"/>
      <c r="P8" s="27"/>
      <c r="Q8" s="27">
        <v>6</v>
      </c>
      <c r="R8" s="16" t="s">
        <v>9</v>
      </c>
      <c r="S8" s="13">
        <f>H48</f>
        <v>0</v>
      </c>
      <c r="U8" s="22"/>
    </row>
    <row r="9" spans="1:22" x14ac:dyDescent="0.2">
      <c r="A9" s="9"/>
      <c r="B9" s="25" t="s">
        <v>35</v>
      </c>
      <c r="C9" s="10" t="s">
        <v>36</v>
      </c>
      <c r="D9" s="7"/>
      <c r="E9" s="11">
        <f t="shared" si="0"/>
        <v>0</v>
      </c>
      <c r="F9" s="11">
        <f t="shared" si="1"/>
        <v>0</v>
      </c>
      <c r="G9" s="11"/>
      <c r="H9" s="11"/>
      <c r="I9" s="32"/>
      <c r="J9" s="32"/>
      <c r="K9" s="32"/>
      <c r="L9" s="29">
        <f t="shared" si="2"/>
        <v>0</v>
      </c>
      <c r="M9" s="29"/>
      <c r="N9" s="169"/>
      <c r="O9" s="91"/>
      <c r="P9" s="27"/>
      <c r="Q9" s="27">
        <v>6</v>
      </c>
      <c r="R9" s="16" t="s">
        <v>10</v>
      </c>
      <c r="S9" s="13">
        <f>I48</f>
        <v>0</v>
      </c>
      <c r="U9" s="22"/>
    </row>
    <row r="10" spans="1:22" x14ac:dyDescent="0.2">
      <c r="A10" s="9"/>
      <c r="B10" s="25" t="s">
        <v>104</v>
      </c>
      <c r="C10" s="10" t="s">
        <v>32</v>
      </c>
      <c r="D10" s="7"/>
      <c r="E10" s="11">
        <f t="shared" si="0"/>
        <v>0</v>
      </c>
      <c r="F10" s="11">
        <f t="shared" si="1"/>
        <v>0</v>
      </c>
      <c r="G10" s="11"/>
      <c r="H10" s="11"/>
      <c r="I10" s="32"/>
      <c r="J10" s="32"/>
      <c r="K10" s="32"/>
      <c r="L10" s="29">
        <f t="shared" si="2"/>
        <v>0</v>
      </c>
      <c r="M10" s="29"/>
      <c r="N10" s="169"/>
      <c r="O10" s="91"/>
      <c r="P10" s="27"/>
      <c r="Q10" s="27">
        <v>0</v>
      </c>
      <c r="R10" s="16" t="s">
        <v>11</v>
      </c>
      <c r="S10" s="13">
        <f>J48</f>
        <v>0</v>
      </c>
      <c r="U10" s="22"/>
    </row>
    <row r="11" spans="1:22" x14ac:dyDescent="0.2">
      <c r="A11" s="9"/>
      <c r="B11" s="25" t="s">
        <v>33</v>
      </c>
      <c r="C11" s="10" t="s">
        <v>34</v>
      </c>
      <c r="D11" s="7"/>
      <c r="E11" s="11">
        <f t="shared" si="0"/>
        <v>0</v>
      </c>
      <c r="F11" s="11">
        <f t="shared" si="1"/>
        <v>0</v>
      </c>
      <c r="G11" s="11"/>
      <c r="H11" s="11"/>
      <c r="I11" s="32"/>
      <c r="J11" s="32"/>
      <c r="K11" s="32"/>
      <c r="L11" s="29">
        <f t="shared" si="2"/>
        <v>0</v>
      </c>
      <c r="M11" s="29"/>
      <c r="N11" s="169"/>
      <c r="O11" s="91"/>
      <c r="P11" s="27"/>
      <c r="Q11" s="27"/>
      <c r="R11" s="16" t="s">
        <v>12</v>
      </c>
      <c r="S11" s="13">
        <f>K48</f>
        <v>0</v>
      </c>
      <c r="U11" s="22"/>
    </row>
    <row r="12" spans="1:22" x14ac:dyDescent="0.2">
      <c r="A12" s="9"/>
      <c r="B12" s="25" t="s">
        <v>147</v>
      </c>
      <c r="C12" s="10" t="s">
        <v>189</v>
      </c>
      <c r="D12" s="7"/>
      <c r="E12" s="11">
        <f t="shared" si="0"/>
        <v>0</v>
      </c>
      <c r="F12" s="11">
        <f t="shared" si="1"/>
        <v>0</v>
      </c>
      <c r="G12" s="11"/>
      <c r="H12" s="11"/>
      <c r="I12" s="32"/>
      <c r="J12" s="32"/>
      <c r="K12" s="32"/>
      <c r="L12" s="29">
        <f t="shared" si="2"/>
        <v>0</v>
      </c>
      <c r="M12" s="29"/>
      <c r="N12" s="169"/>
      <c r="O12" s="91"/>
      <c r="P12" s="27"/>
      <c r="Q12" s="27">
        <v>6</v>
      </c>
      <c r="R12" s="17" t="s">
        <v>37</v>
      </c>
      <c r="S12" s="14">
        <f>N48</f>
        <v>0</v>
      </c>
      <c r="U12" s="22"/>
    </row>
    <row r="13" spans="1:22" x14ac:dyDescent="0.2">
      <c r="A13" s="9"/>
      <c r="B13" s="25" t="s">
        <v>105</v>
      </c>
      <c r="C13" s="10" t="s">
        <v>106</v>
      </c>
      <c r="D13" s="7"/>
      <c r="E13" s="11">
        <f t="shared" si="0"/>
        <v>0</v>
      </c>
      <c r="F13" s="11">
        <f t="shared" si="1"/>
        <v>0</v>
      </c>
      <c r="G13" s="11"/>
      <c r="H13" s="11"/>
      <c r="I13" s="32"/>
      <c r="J13" s="32"/>
      <c r="K13" s="32"/>
      <c r="L13" s="29">
        <f t="shared" si="2"/>
        <v>0</v>
      </c>
      <c r="M13" s="29"/>
      <c r="N13" s="169"/>
      <c r="O13" s="91"/>
      <c r="P13" s="27"/>
      <c r="Q13" s="27">
        <v>0</v>
      </c>
      <c r="R13" s="18"/>
      <c r="S13" s="30">
        <f>S5+S6+S7-S9-S10-S11-S12</f>
        <v>0</v>
      </c>
      <c r="U13" s="22"/>
    </row>
    <row r="14" spans="1:22" x14ac:dyDescent="0.2">
      <c r="A14" s="9"/>
      <c r="B14" s="25" t="s">
        <v>40</v>
      </c>
      <c r="C14" s="10" t="s">
        <v>41</v>
      </c>
      <c r="D14" s="7"/>
      <c r="E14" s="11">
        <f t="shared" si="0"/>
        <v>0</v>
      </c>
      <c r="F14" s="11">
        <f t="shared" si="1"/>
        <v>0</v>
      </c>
      <c r="G14" s="11"/>
      <c r="H14" s="11"/>
      <c r="I14" s="32"/>
      <c r="J14" s="32"/>
      <c r="K14" s="32"/>
      <c r="L14" s="29">
        <f t="shared" si="2"/>
        <v>0</v>
      </c>
      <c r="M14" s="29"/>
      <c r="N14" s="169"/>
      <c r="O14" s="91"/>
      <c r="P14" s="27"/>
      <c r="Q14" s="27">
        <v>0</v>
      </c>
      <c r="R14" s="19" t="s">
        <v>42</v>
      </c>
      <c r="S14" s="20">
        <f>M48</f>
        <v>0</v>
      </c>
      <c r="U14" s="22"/>
    </row>
    <row r="15" spans="1:22" x14ac:dyDescent="0.2">
      <c r="A15" s="9"/>
      <c r="B15" s="25" t="s">
        <v>43</v>
      </c>
      <c r="C15" s="10" t="s">
        <v>44</v>
      </c>
      <c r="D15" s="7"/>
      <c r="E15" s="11">
        <f t="shared" si="0"/>
        <v>0</v>
      </c>
      <c r="F15" s="11">
        <f t="shared" si="1"/>
        <v>0</v>
      </c>
      <c r="G15" s="11"/>
      <c r="H15" s="11"/>
      <c r="I15" s="32"/>
      <c r="J15" s="32"/>
      <c r="K15" s="32"/>
      <c r="L15" s="29">
        <f t="shared" si="2"/>
        <v>0</v>
      </c>
      <c r="M15" s="29"/>
      <c r="N15" s="169"/>
      <c r="O15" s="91"/>
      <c r="P15" s="27"/>
      <c r="Q15" s="27"/>
      <c r="U15" s="22"/>
    </row>
    <row r="16" spans="1:22" x14ac:dyDescent="0.2">
      <c r="A16" s="9"/>
      <c r="B16" s="25" t="s">
        <v>45</v>
      </c>
      <c r="C16" s="10" t="s">
        <v>46</v>
      </c>
      <c r="D16" s="7"/>
      <c r="E16" s="11">
        <f t="shared" si="0"/>
        <v>0</v>
      </c>
      <c r="F16" s="11">
        <f t="shared" si="1"/>
        <v>0</v>
      </c>
      <c r="G16" s="11"/>
      <c r="H16" s="11"/>
      <c r="I16" s="32"/>
      <c r="J16" s="32"/>
      <c r="K16" s="32"/>
      <c r="L16" s="29">
        <f t="shared" si="2"/>
        <v>0</v>
      </c>
      <c r="M16" s="29"/>
      <c r="N16" s="169"/>
      <c r="O16" s="91"/>
      <c r="P16" s="27"/>
      <c r="Q16" s="27">
        <v>6</v>
      </c>
      <c r="U16" s="22"/>
    </row>
    <row r="17" spans="1:21" x14ac:dyDescent="0.2">
      <c r="A17" s="9"/>
      <c r="B17" s="25" t="s">
        <v>47</v>
      </c>
      <c r="C17" s="10" t="s">
        <v>48</v>
      </c>
      <c r="D17" s="7"/>
      <c r="E17" s="11">
        <f t="shared" si="0"/>
        <v>0</v>
      </c>
      <c r="F17" s="11">
        <f t="shared" si="1"/>
        <v>0</v>
      </c>
      <c r="G17" s="11"/>
      <c r="H17" s="11"/>
      <c r="I17" s="32"/>
      <c r="J17" s="32"/>
      <c r="K17" s="32"/>
      <c r="L17" s="29">
        <f t="shared" si="2"/>
        <v>0</v>
      </c>
      <c r="M17" s="29"/>
      <c r="N17" s="169"/>
      <c r="O17" s="91"/>
      <c r="P17" s="27"/>
      <c r="Q17" s="27">
        <v>6</v>
      </c>
      <c r="R17" s="34"/>
      <c r="S17" s="34"/>
      <c r="T17" s="34"/>
      <c r="U17" s="22"/>
    </row>
    <row r="18" spans="1:21" x14ac:dyDescent="0.2">
      <c r="A18" s="9"/>
      <c r="B18" s="25" t="s">
        <v>49</v>
      </c>
      <c r="C18" s="10" t="s">
        <v>50</v>
      </c>
      <c r="D18" s="7"/>
      <c r="E18" s="11">
        <f t="shared" si="0"/>
        <v>0</v>
      </c>
      <c r="F18" s="11">
        <f t="shared" si="1"/>
        <v>0</v>
      </c>
      <c r="G18" s="11"/>
      <c r="H18" s="11"/>
      <c r="I18" s="32"/>
      <c r="J18" s="32"/>
      <c r="K18" s="32"/>
      <c r="L18" s="29">
        <f t="shared" si="2"/>
        <v>0</v>
      </c>
      <c r="M18" s="29"/>
      <c r="N18" s="169"/>
      <c r="O18" s="91"/>
      <c r="P18" s="27"/>
      <c r="Q18" s="27">
        <v>0</v>
      </c>
      <c r="R18" s="15" t="s">
        <v>51</v>
      </c>
      <c r="S18" s="95">
        <f t="array" ref="S18">SUMPRODUCT((VALUE(B4:B47)&lt;100)*(D4:D47&gt;0))</f>
        <v>0</v>
      </c>
      <c r="T18" s="35"/>
      <c r="U18" s="22"/>
    </row>
    <row r="19" spans="1:21" x14ac:dyDescent="0.2">
      <c r="A19" s="9"/>
      <c r="B19" s="25" t="s">
        <v>27</v>
      </c>
      <c r="C19" s="10" t="s">
        <v>53</v>
      </c>
      <c r="D19" s="7"/>
      <c r="E19" s="11">
        <f t="shared" si="0"/>
        <v>0</v>
      </c>
      <c r="F19" s="11">
        <f t="shared" si="1"/>
        <v>0</v>
      </c>
      <c r="G19" s="11"/>
      <c r="H19" s="11"/>
      <c r="I19" s="32"/>
      <c r="J19" s="32"/>
      <c r="K19" s="32"/>
      <c r="L19" s="29">
        <f t="shared" si="2"/>
        <v>0</v>
      </c>
      <c r="M19" s="29"/>
      <c r="N19" s="170"/>
      <c r="O19" s="173"/>
      <c r="P19" s="27"/>
      <c r="Q19" s="27">
        <v>0</v>
      </c>
      <c r="R19" s="16" t="s">
        <v>54</v>
      </c>
      <c r="S19" s="96">
        <f t="array" ref="S19">SUMPRODUCT((VALUE(B4:B47)&gt;100)*(D4:D47&gt;0))</f>
        <v>0</v>
      </c>
      <c r="U19" s="22"/>
    </row>
    <row r="20" spans="1:21" x14ac:dyDescent="0.2">
      <c r="A20" s="9"/>
      <c r="B20" s="25" t="s">
        <v>55</v>
      </c>
      <c r="C20" s="10" t="s">
        <v>60</v>
      </c>
      <c r="D20" s="7"/>
      <c r="E20" s="11">
        <f t="shared" si="0"/>
        <v>0</v>
      </c>
      <c r="F20" s="11">
        <f t="shared" si="1"/>
        <v>0</v>
      </c>
      <c r="G20" s="11"/>
      <c r="H20" s="11"/>
      <c r="I20" s="32"/>
      <c r="J20" s="32"/>
      <c r="K20" s="32"/>
      <c r="L20" s="29">
        <f t="shared" si="2"/>
        <v>0</v>
      </c>
      <c r="M20" s="29"/>
      <c r="N20" s="169"/>
      <c r="O20" s="91"/>
      <c r="P20" s="27"/>
      <c r="Q20" s="27">
        <v>6</v>
      </c>
      <c r="R20" s="17" t="s">
        <v>57</v>
      </c>
      <c r="S20" s="97">
        <f>S18+S19</f>
        <v>0</v>
      </c>
      <c r="U20" s="22"/>
    </row>
    <row r="21" spans="1:21" x14ac:dyDescent="0.2">
      <c r="A21" s="9"/>
      <c r="B21" s="25" t="s">
        <v>134</v>
      </c>
      <c r="C21" s="10" t="s">
        <v>58</v>
      </c>
      <c r="D21" s="7"/>
      <c r="E21" s="11">
        <f t="shared" si="0"/>
        <v>0</v>
      </c>
      <c r="F21" s="11">
        <f t="shared" si="1"/>
        <v>0</v>
      </c>
      <c r="G21" s="11"/>
      <c r="H21" s="11"/>
      <c r="I21" s="32"/>
      <c r="J21" s="32"/>
      <c r="K21" s="32"/>
      <c r="L21" s="29">
        <f t="shared" si="2"/>
        <v>0</v>
      </c>
      <c r="M21" s="29"/>
      <c r="N21" s="169"/>
      <c r="O21" s="91"/>
      <c r="P21" s="27"/>
      <c r="Q21" s="27">
        <v>2</v>
      </c>
      <c r="U21" s="22"/>
    </row>
    <row r="22" spans="1:21" x14ac:dyDescent="0.2">
      <c r="A22" s="9"/>
      <c r="B22" s="25" t="s">
        <v>49</v>
      </c>
      <c r="C22" s="10" t="s">
        <v>56</v>
      </c>
      <c r="D22" s="7"/>
      <c r="E22" s="11">
        <f t="shared" si="0"/>
        <v>0</v>
      </c>
      <c r="F22" s="11">
        <f t="shared" si="1"/>
        <v>0</v>
      </c>
      <c r="G22" s="11"/>
      <c r="H22" s="11"/>
      <c r="I22" s="32"/>
      <c r="J22" s="32"/>
      <c r="K22" s="32"/>
      <c r="L22" s="29">
        <f t="shared" si="2"/>
        <v>0</v>
      </c>
      <c r="M22" s="29"/>
      <c r="N22" s="169"/>
      <c r="O22" s="91"/>
      <c r="P22" s="27"/>
      <c r="Q22" s="27">
        <v>6</v>
      </c>
      <c r="U22" s="22"/>
    </row>
    <row r="23" spans="1:21" x14ac:dyDescent="0.2">
      <c r="A23" s="9"/>
      <c r="B23" s="103" t="s">
        <v>61</v>
      </c>
      <c r="C23" s="10" t="s">
        <v>62</v>
      </c>
      <c r="D23" s="7"/>
      <c r="E23" s="11">
        <f t="shared" si="0"/>
        <v>0</v>
      </c>
      <c r="F23" s="11">
        <f t="shared" si="1"/>
        <v>0</v>
      </c>
      <c r="G23" s="11"/>
      <c r="H23" s="11"/>
      <c r="I23" s="32"/>
      <c r="J23" s="32"/>
      <c r="K23" s="32"/>
      <c r="L23" s="29">
        <f t="shared" si="2"/>
        <v>0</v>
      </c>
      <c r="M23" s="29"/>
      <c r="N23" s="169"/>
      <c r="O23" s="91"/>
      <c r="P23" s="27"/>
      <c r="Q23" s="27">
        <v>6</v>
      </c>
      <c r="U23" s="22"/>
    </row>
    <row r="24" spans="1:21" x14ac:dyDescent="0.2">
      <c r="A24" s="102"/>
      <c r="B24" s="25" t="s">
        <v>63</v>
      </c>
      <c r="C24" s="10" t="s">
        <v>64</v>
      </c>
      <c r="D24" s="7"/>
      <c r="E24" s="11">
        <f t="shared" si="0"/>
        <v>0</v>
      </c>
      <c r="F24" s="11">
        <f t="shared" si="1"/>
        <v>0</v>
      </c>
      <c r="G24" s="11"/>
      <c r="H24" s="11"/>
      <c r="I24" s="32"/>
      <c r="J24" s="32"/>
      <c r="K24" s="32"/>
      <c r="L24" s="29">
        <f t="shared" si="2"/>
        <v>0</v>
      </c>
      <c r="M24" s="29"/>
      <c r="N24" s="169"/>
      <c r="O24" s="91"/>
      <c r="P24" s="27"/>
      <c r="Q24" s="27">
        <v>6</v>
      </c>
      <c r="U24" s="22"/>
    </row>
    <row r="25" spans="1:21" x14ac:dyDescent="0.2">
      <c r="A25" s="9"/>
      <c r="B25" s="25" t="s">
        <v>65</v>
      </c>
      <c r="C25" s="10" t="s">
        <v>66</v>
      </c>
      <c r="D25" s="7"/>
      <c r="E25" s="11">
        <f t="shared" si="0"/>
        <v>0</v>
      </c>
      <c r="F25" s="11">
        <f t="shared" si="1"/>
        <v>0</v>
      </c>
      <c r="G25" s="11"/>
      <c r="H25" s="11"/>
      <c r="I25" s="32"/>
      <c r="J25" s="32"/>
      <c r="K25" s="32"/>
      <c r="L25" s="29">
        <f t="shared" si="2"/>
        <v>0</v>
      </c>
      <c r="M25" s="29"/>
      <c r="N25" s="169"/>
      <c r="O25" s="91"/>
      <c r="P25" s="27"/>
      <c r="Q25" s="27">
        <v>6</v>
      </c>
      <c r="U25" s="22"/>
    </row>
    <row r="26" spans="1:21" x14ac:dyDescent="0.2">
      <c r="A26" s="9"/>
      <c r="B26" s="25" t="s">
        <v>55</v>
      </c>
      <c r="C26" s="10" t="s">
        <v>107</v>
      </c>
      <c r="D26" s="7"/>
      <c r="E26" s="11">
        <f t="shared" si="0"/>
        <v>0</v>
      </c>
      <c r="F26" s="11">
        <f t="shared" si="1"/>
        <v>0</v>
      </c>
      <c r="G26" s="11"/>
      <c r="H26" s="11"/>
      <c r="I26" s="32"/>
      <c r="J26" s="32"/>
      <c r="K26" s="32"/>
      <c r="L26" s="29">
        <f t="shared" si="2"/>
        <v>0</v>
      </c>
      <c r="M26" s="29"/>
      <c r="N26" s="169"/>
      <c r="O26" s="91"/>
      <c r="P26" s="27"/>
      <c r="Q26" s="27"/>
      <c r="R26" s="212"/>
      <c r="S26" s="213"/>
      <c r="U26" s="22"/>
    </row>
    <row r="27" spans="1:21" x14ac:dyDescent="0.2">
      <c r="A27" s="9"/>
      <c r="B27" s="25" t="s">
        <v>55</v>
      </c>
      <c r="C27" s="10" t="s">
        <v>68</v>
      </c>
      <c r="D27" s="7"/>
      <c r="E27" s="11">
        <f t="shared" si="0"/>
        <v>0</v>
      </c>
      <c r="F27" s="11">
        <f t="shared" si="1"/>
        <v>0</v>
      </c>
      <c r="G27" s="11"/>
      <c r="H27" s="11"/>
      <c r="I27" s="32"/>
      <c r="J27" s="32"/>
      <c r="K27" s="32"/>
      <c r="L27" s="29">
        <f t="shared" si="2"/>
        <v>0</v>
      </c>
      <c r="M27" s="29"/>
      <c r="N27" s="169"/>
      <c r="O27" s="91"/>
      <c r="P27" s="27"/>
      <c r="Q27" s="27">
        <v>0</v>
      </c>
      <c r="S27" s="22"/>
      <c r="T27" s="27">
        <v>1</v>
      </c>
      <c r="U27" s="22"/>
    </row>
    <row r="28" spans="1:21" x14ac:dyDescent="0.2">
      <c r="A28" s="9"/>
      <c r="B28" s="25" t="s">
        <v>69</v>
      </c>
      <c r="C28" s="10" t="s">
        <v>70</v>
      </c>
      <c r="D28" s="7"/>
      <c r="E28" s="11">
        <f t="shared" si="0"/>
        <v>0</v>
      </c>
      <c r="F28" s="11">
        <f t="shared" si="1"/>
        <v>0</v>
      </c>
      <c r="G28" s="11"/>
      <c r="H28" s="11"/>
      <c r="I28" s="32"/>
      <c r="J28" s="32"/>
      <c r="K28" s="32"/>
      <c r="L28" s="29">
        <f t="shared" si="2"/>
        <v>0</v>
      </c>
      <c r="M28" s="29"/>
      <c r="N28" s="169"/>
      <c r="O28" s="91"/>
      <c r="P28" s="27"/>
      <c r="Q28" s="27">
        <v>0</v>
      </c>
      <c r="S28" s="22"/>
      <c r="T28" s="27"/>
      <c r="U28" s="22"/>
    </row>
    <row r="29" spans="1:21" x14ac:dyDescent="0.2">
      <c r="A29" s="9"/>
      <c r="B29" s="25" t="s">
        <v>71</v>
      </c>
      <c r="C29" s="10" t="s">
        <v>72</v>
      </c>
      <c r="D29" s="7"/>
      <c r="E29" s="11">
        <f t="shared" si="0"/>
        <v>0</v>
      </c>
      <c r="F29" s="11">
        <f t="shared" si="1"/>
        <v>0</v>
      </c>
      <c r="G29" s="11"/>
      <c r="H29" s="11"/>
      <c r="I29" s="32"/>
      <c r="J29" s="32"/>
      <c r="K29" s="32"/>
      <c r="L29" s="29">
        <f t="shared" si="2"/>
        <v>0</v>
      </c>
      <c r="M29" s="29"/>
      <c r="N29" s="169"/>
      <c r="O29" s="91"/>
      <c r="P29" s="27"/>
      <c r="Q29" s="27">
        <v>6</v>
      </c>
      <c r="S29" s="22"/>
      <c r="U29" s="22"/>
    </row>
    <row r="30" spans="1:21" x14ac:dyDescent="0.2">
      <c r="A30" s="9"/>
      <c r="B30" s="25" t="s">
        <v>73</v>
      </c>
      <c r="C30" s="10" t="s">
        <v>74</v>
      </c>
      <c r="D30" s="7"/>
      <c r="E30" s="11">
        <f t="shared" si="0"/>
        <v>0</v>
      </c>
      <c r="F30" s="11">
        <f t="shared" si="1"/>
        <v>0</v>
      </c>
      <c r="G30" s="11"/>
      <c r="H30" s="11"/>
      <c r="I30" s="32"/>
      <c r="J30" s="32"/>
      <c r="K30" s="32"/>
      <c r="L30" s="29">
        <f t="shared" si="2"/>
        <v>0</v>
      </c>
      <c r="M30" s="29"/>
      <c r="N30" s="169"/>
      <c r="O30" s="91"/>
      <c r="P30" s="27"/>
      <c r="Q30" s="27"/>
      <c r="R30" s="18"/>
      <c r="S30" s="3"/>
      <c r="U30" s="22"/>
    </row>
    <row r="31" spans="1:21" x14ac:dyDescent="0.2">
      <c r="A31" s="9"/>
      <c r="B31" s="25" t="s">
        <v>75</v>
      </c>
      <c r="C31" s="10" t="s">
        <v>76</v>
      </c>
      <c r="D31" s="7"/>
      <c r="E31" s="11">
        <f t="shared" si="0"/>
        <v>0</v>
      </c>
      <c r="F31" s="11">
        <f t="shared" si="1"/>
        <v>0</v>
      </c>
      <c r="G31" s="11"/>
      <c r="H31" s="11"/>
      <c r="I31" s="32"/>
      <c r="J31" s="32"/>
      <c r="K31" s="32"/>
      <c r="L31" s="29">
        <f t="shared" si="2"/>
        <v>0</v>
      </c>
      <c r="M31" s="29"/>
      <c r="N31" s="169"/>
      <c r="O31" s="91"/>
      <c r="P31" s="27"/>
      <c r="Q31" s="27">
        <v>0</v>
      </c>
      <c r="U31" s="22"/>
    </row>
    <row r="32" spans="1:21" x14ac:dyDescent="0.2">
      <c r="A32" s="9"/>
      <c r="B32" s="25" t="s">
        <v>77</v>
      </c>
      <c r="C32" s="10" t="s">
        <v>78</v>
      </c>
      <c r="D32" s="7"/>
      <c r="E32" s="11">
        <f t="shared" si="0"/>
        <v>0</v>
      </c>
      <c r="F32" s="11">
        <f t="shared" si="1"/>
        <v>0</v>
      </c>
      <c r="G32" s="11"/>
      <c r="H32" s="11"/>
      <c r="I32" s="32"/>
      <c r="J32" s="32"/>
      <c r="K32" s="32"/>
      <c r="L32" s="29">
        <f t="shared" si="2"/>
        <v>0</v>
      </c>
      <c r="M32" s="29"/>
      <c r="N32" s="169"/>
      <c r="O32" s="91"/>
      <c r="P32" s="27"/>
      <c r="Q32" s="27">
        <v>6</v>
      </c>
      <c r="U32" s="22"/>
    </row>
    <row r="33" spans="1:21" x14ac:dyDescent="0.2">
      <c r="A33" s="9"/>
      <c r="B33" s="25" t="s">
        <v>131</v>
      </c>
      <c r="C33" s="10" t="s">
        <v>79</v>
      </c>
      <c r="D33" s="7"/>
      <c r="E33" s="11">
        <f t="shared" si="0"/>
        <v>0</v>
      </c>
      <c r="F33" s="11">
        <f t="shared" si="1"/>
        <v>0</v>
      </c>
      <c r="G33" s="11"/>
      <c r="H33" s="11"/>
      <c r="I33" s="32"/>
      <c r="J33" s="32"/>
      <c r="K33" s="32"/>
      <c r="L33" s="29">
        <f t="shared" si="2"/>
        <v>0</v>
      </c>
      <c r="M33" s="29"/>
      <c r="N33" s="170"/>
      <c r="O33" s="91"/>
      <c r="P33" s="27"/>
      <c r="Q33" s="27">
        <v>0</v>
      </c>
      <c r="U33" s="22"/>
    </row>
    <row r="34" spans="1:21" x14ac:dyDescent="0.2">
      <c r="A34" s="9"/>
      <c r="B34" s="25" t="s">
        <v>43</v>
      </c>
      <c r="C34" s="10" t="s">
        <v>80</v>
      </c>
      <c r="D34" s="7"/>
      <c r="E34" s="11">
        <f t="shared" si="0"/>
        <v>0</v>
      </c>
      <c r="F34" s="11">
        <f t="shared" si="1"/>
        <v>0</v>
      </c>
      <c r="G34" s="11"/>
      <c r="H34" s="11"/>
      <c r="I34" s="32"/>
      <c r="J34" s="32"/>
      <c r="K34" s="32"/>
      <c r="L34" s="29">
        <f t="shared" si="2"/>
        <v>0</v>
      </c>
      <c r="M34" s="29"/>
      <c r="N34" s="169"/>
      <c r="O34" s="91"/>
      <c r="P34" s="27"/>
      <c r="Q34" s="27"/>
      <c r="U34" s="22"/>
    </row>
    <row r="35" spans="1:21" x14ac:dyDescent="0.2">
      <c r="A35" s="9"/>
      <c r="B35" s="25" t="s">
        <v>27</v>
      </c>
      <c r="C35" s="10" t="s">
        <v>81</v>
      </c>
      <c r="D35" s="7"/>
      <c r="E35" s="11">
        <f t="shared" si="0"/>
        <v>0</v>
      </c>
      <c r="F35" s="11">
        <f t="shared" si="1"/>
        <v>0</v>
      </c>
      <c r="G35" s="11"/>
      <c r="H35" s="11"/>
      <c r="I35" s="32"/>
      <c r="J35" s="32"/>
      <c r="K35" s="32"/>
      <c r="L35" s="29">
        <f t="shared" si="2"/>
        <v>0</v>
      </c>
      <c r="M35" s="29"/>
      <c r="N35" s="169"/>
      <c r="O35" s="91"/>
      <c r="P35" s="27"/>
      <c r="Q35" s="27">
        <v>6</v>
      </c>
      <c r="U35" s="22"/>
    </row>
    <row r="36" spans="1:21" x14ac:dyDescent="0.2">
      <c r="A36" s="9"/>
      <c r="B36" s="25" t="s">
        <v>82</v>
      </c>
      <c r="C36" s="10" t="s">
        <v>83</v>
      </c>
      <c r="D36" s="7"/>
      <c r="E36" s="11">
        <f t="shared" si="0"/>
        <v>0</v>
      </c>
      <c r="F36" s="11">
        <f t="shared" si="1"/>
        <v>0</v>
      </c>
      <c r="G36" s="11"/>
      <c r="H36" s="11"/>
      <c r="I36" s="32"/>
      <c r="J36" s="32"/>
      <c r="K36" s="32"/>
      <c r="L36" s="29">
        <f t="shared" si="2"/>
        <v>0</v>
      </c>
      <c r="M36" s="29"/>
      <c r="N36" s="169"/>
      <c r="O36" s="91"/>
      <c r="P36" s="27"/>
      <c r="Q36" s="27"/>
      <c r="U36" s="22"/>
    </row>
    <row r="37" spans="1:21" x14ac:dyDescent="0.2">
      <c r="A37" s="9"/>
      <c r="B37" s="25" t="s">
        <v>84</v>
      </c>
      <c r="C37" s="10" t="s">
        <v>85</v>
      </c>
      <c r="D37" s="7"/>
      <c r="E37" s="11">
        <f t="shared" si="0"/>
        <v>0</v>
      </c>
      <c r="F37" s="11">
        <f t="shared" si="1"/>
        <v>0</v>
      </c>
      <c r="G37" s="11"/>
      <c r="H37" s="11"/>
      <c r="I37" s="32"/>
      <c r="J37" s="32"/>
      <c r="K37" s="32"/>
      <c r="L37" s="29">
        <f t="shared" si="2"/>
        <v>0</v>
      </c>
      <c r="M37" s="29"/>
      <c r="N37" s="169"/>
      <c r="O37" s="91"/>
      <c r="P37" s="27" t="s">
        <v>59</v>
      </c>
      <c r="Q37" s="27"/>
      <c r="U37" s="22"/>
    </row>
    <row r="38" spans="1:21" x14ac:dyDescent="0.2">
      <c r="A38" s="9"/>
      <c r="B38" s="25" t="s">
        <v>86</v>
      </c>
      <c r="C38" s="10" t="s">
        <v>87</v>
      </c>
      <c r="D38" s="8"/>
      <c r="E38" s="11">
        <f t="shared" si="0"/>
        <v>0</v>
      </c>
      <c r="F38" s="11">
        <f t="shared" si="1"/>
        <v>0</v>
      </c>
      <c r="G38" s="11"/>
      <c r="H38" s="11"/>
      <c r="I38" s="33"/>
      <c r="J38" s="33"/>
      <c r="K38" s="33"/>
      <c r="L38" s="29">
        <f t="shared" si="2"/>
        <v>0</v>
      </c>
      <c r="M38" s="29"/>
      <c r="N38" s="171"/>
      <c r="O38" s="25"/>
      <c r="P38" s="27"/>
      <c r="Q38" s="27">
        <v>0</v>
      </c>
      <c r="U38" s="22"/>
    </row>
    <row r="39" spans="1:21" x14ac:dyDescent="0.2">
      <c r="A39" s="9"/>
      <c r="B39" s="25" t="s">
        <v>47</v>
      </c>
      <c r="C39" s="10" t="s">
        <v>88</v>
      </c>
      <c r="D39" s="7"/>
      <c r="E39" s="11">
        <f t="shared" si="0"/>
        <v>0</v>
      </c>
      <c r="F39" s="11">
        <f t="shared" si="1"/>
        <v>0</v>
      </c>
      <c r="G39" s="11"/>
      <c r="H39" s="11"/>
      <c r="I39" s="32"/>
      <c r="J39" s="32"/>
      <c r="K39" s="32"/>
      <c r="L39" s="29">
        <f t="shared" si="2"/>
        <v>0</v>
      </c>
      <c r="M39" s="29"/>
      <c r="N39" s="169"/>
      <c r="O39" s="91"/>
      <c r="P39" s="27"/>
      <c r="Q39" s="27">
        <v>6</v>
      </c>
      <c r="U39" s="22"/>
    </row>
    <row r="40" spans="1:21" x14ac:dyDescent="0.2">
      <c r="A40" s="9"/>
      <c r="B40" s="25" t="s">
        <v>89</v>
      </c>
      <c r="C40" s="10" t="s">
        <v>191</v>
      </c>
      <c r="D40" s="7"/>
      <c r="E40" s="11">
        <f t="shared" si="0"/>
        <v>0</v>
      </c>
      <c r="F40" s="11">
        <f t="shared" si="1"/>
        <v>0</v>
      </c>
      <c r="G40" s="11"/>
      <c r="H40" s="11"/>
      <c r="I40" s="32"/>
      <c r="J40" s="32"/>
      <c r="K40" s="32"/>
      <c r="L40" s="29">
        <f t="shared" si="2"/>
        <v>0</v>
      </c>
      <c r="M40" s="29"/>
      <c r="N40" s="169"/>
      <c r="O40" s="91"/>
      <c r="P40" s="27"/>
      <c r="Q40" s="27">
        <v>6</v>
      </c>
      <c r="U40" s="22"/>
    </row>
    <row r="41" spans="1:21" x14ac:dyDescent="0.2">
      <c r="A41" s="9"/>
      <c r="B41" s="25" t="s">
        <v>91</v>
      </c>
      <c r="C41" s="10" t="s">
        <v>92</v>
      </c>
      <c r="D41" s="7"/>
      <c r="E41" s="11">
        <f t="shared" si="0"/>
        <v>0</v>
      </c>
      <c r="F41" s="11">
        <f t="shared" si="1"/>
        <v>0</v>
      </c>
      <c r="G41" s="11"/>
      <c r="H41" s="11"/>
      <c r="I41" s="32"/>
      <c r="J41" s="32"/>
      <c r="K41" s="32"/>
      <c r="L41" s="29">
        <f t="shared" si="2"/>
        <v>0</v>
      </c>
      <c r="M41" s="29"/>
      <c r="N41" s="169"/>
      <c r="O41" s="91"/>
      <c r="P41" s="27"/>
      <c r="Q41" s="27"/>
      <c r="U41" s="22"/>
    </row>
    <row r="42" spans="1:21" x14ac:dyDescent="0.2">
      <c r="A42" s="102"/>
      <c r="B42" s="25" t="s">
        <v>93</v>
      </c>
      <c r="C42" s="10" t="s">
        <v>94</v>
      </c>
      <c r="D42" s="7"/>
      <c r="E42" s="11">
        <f t="shared" si="0"/>
        <v>0</v>
      </c>
      <c r="F42" s="11">
        <f t="shared" si="1"/>
        <v>0</v>
      </c>
      <c r="G42" s="11"/>
      <c r="H42" s="11"/>
      <c r="I42" s="32"/>
      <c r="J42" s="32"/>
      <c r="K42" s="32"/>
      <c r="L42" s="29">
        <f t="shared" si="2"/>
        <v>0</v>
      </c>
      <c r="M42" s="29"/>
      <c r="N42" s="169"/>
      <c r="O42" s="91"/>
      <c r="P42" s="27"/>
      <c r="Q42" s="27"/>
      <c r="U42" s="22"/>
    </row>
    <row r="43" spans="1:21" x14ac:dyDescent="0.2">
      <c r="A43" s="9"/>
      <c r="B43" s="25" t="s">
        <v>99</v>
      </c>
      <c r="C43" s="10" t="s">
        <v>95</v>
      </c>
      <c r="D43" s="7"/>
      <c r="E43" s="11">
        <f t="shared" si="0"/>
        <v>0</v>
      </c>
      <c r="F43" s="11">
        <f t="shared" si="1"/>
        <v>0</v>
      </c>
      <c r="G43" s="11"/>
      <c r="H43" s="11"/>
      <c r="I43" s="32"/>
      <c r="J43" s="32"/>
      <c r="K43" s="32"/>
      <c r="L43" s="29">
        <f t="shared" si="2"/>
        <v>0</v>
      </c>
      <c r="M43" s="29"/>
      <c r="N43" s="169"/>
      <c r="O43" s="91"/>
      <c r="P43" s="27"/>
      <c r="Q43" s="27"/>
      <c r="U43" s="22"/>
    </row>
    <row r="44" spans="1:21" x14ac:dyDescent="0.2">
      <c r="A44" s="9"/>
      <c r="B44" s="25" t="s">
        <v>111</v>
      </c>
      <c r="C44" s="10" t="s">
        <v>96</v>
      </c>
      <c r="D44" s="7"/>
      <c r="E44" s="11">
        <f t="shared" si="0"/>
        <v>0</v>
      </c>
      <c r="F44" s="11">
        <f t="shared" si="1"/>
        <v>0</v>
      </c>
      <c r="G44" s="11"/>
      <c r="H44" s="11"/>
      <c r="I44" s="32"/>
      <c r="J44" s="32"/>
      <c r="K44" s="32"/>
      <c r="L44" s="29">
        <f t="shared" si="2"/>
        <v>0</v>
      </c>
      <c r="M44" s="29"/>
      <c r="N44" s="169"/>
      <c r="O44" s="91"/>
      <c r="P44" s="27"/>
      <c r="Q44" s="27">
        <v>6</v>
      </c>
      <c r="U44" s="22"/>
    </row>
    <row r="45" spans="1:21" x14ac:dyDescent="0.2">
      <c r="A45" s="9"/>
      <c r="B45" s="25" t="s">
        <v>97</v>
      </c>
      <c r="C45" s="10" t="s">
        <v>98</v>
      </c>
      <c r="D45" s="7"/>
      <c r="E45" s="11">
        <f t="shared" si="0"/>
        <v>0</v>
      </c>
      <c r="F45" s="11">
        <f t="shared" si="1"/>
        <v>0</v>
      </c>
      <c r="G45" s="11"/>
      <c r="H45" s="11"/>
      <c r="I45" s="32"/>
      <c r="J45" s="32"/>
      <c r="K45" s="32"/>
      <c r="L45" s="29">
        <f t="shared" si="2"/>
        <v>0</v>
      </c>
      <c r="M45" s="29"/>
      <c r="N45" s="169"/>
      <c r="O45" s="91"/>
      <c r="P45" s="27"/>
      <c r="Q45" s="27"/>
      <c r="U45" s="22"/>
    </row>
    <row r="46" spans="1:21" x14ac:dyDescent="0.2">
      <c r="A46" s="9"/>
      <c r="B46" s="25" t="s">
        <v>52</v>
      </c>
      <c r="C46" s="10" t="s">
        <v>100</v>
      </c>
      <c r="D46" s="7"/>
      <c r="E46" s="11">
        <f t="shared" si="0"/>
        <v>0</v>
      </c>
      <c r="F46" s="11">
        <f t="shared" si="1"/>
        <v>0</v>
      </c>
      <c r="G46" s="11"/>
      <c r="H46" s="11"/>
      <c r="I46" s="32"/>
      <c r="J46" s="32"/>
      <c r="K46" s="32"/>
      <c r="L46" s="29">
        <f t="shared" si="2"/>
        <v>0</v>
      </c>
      <c r="M46" s="29"/>
      <c r="N46" s="169"/>
      <c r="O46" s="91"/>
      <c r="P46" s="27"/>
      <c r="Q46" s="27">
        <v>0</v>
      </c>
      <c r="U46" s="22"/>
    </row>
    <row r="47" spans="1:21" x14ac:dyDescent="0.2">
      <c r="A47" s="9"/>
      <c r="B47" s="25"/>
      <c r="C47" s="10"/>
      <c r="D47" s="7"/>
      <c r="E47" s="11">
        <f t="shared" si="0"/>
        <v>0</v>
      </c>
      <c r="F47" s="11">
        <f t="shared" si="1"/>
        <v>0</v>
      </c>
      <c r="G47" s="11"/>
      <c r="H47" s="11"/>
      <c r="I47" s="32"/>
      <c r="J47" s="32"/>
      <c r="K47" s="32"/>
      <c r="L47" s="29">
        <f t="shared" si="2"/>
        <v>0</v>
      </c>
      <c r="M47" s="29"/>
      <c r="N47" s="169"/>
      <c r="O47" s="91"/>
      <c r="P47" s="27"/>
      <c r="Q47" s="27">
        <v>6</v>
      </c>
      <c r="U47" s="22"/>
    </row>
    <row r="48" spans="1:21" x14ac:dyDescent="0.2">
      <c r="D48" s="3">
        <f t="shared" ref="D48:N48" si="3">SUM(D4:D47)</f>
        <v>0</v>
      </c>
      <c r="E48" s="21">
        <f t="shared" si="3"/>
        <v>0</v>
      </c>
      <c r="F48" s="3">
        <f t="shared" si="3"/>
        <v>0</v>
      </c>
      <c r="G48" s="3">
        <f t="shared" si="3"/>
        <v>0</v>
      </c>
      <c r="H48" s="3">
        <f t="shared" si="3"/>
        <v>0</v>
      </c>
      <c r="I48" s="3">
        <f t="shared" si="3"/>
        <v>0</v>
      </c>
      <c r="J48" s="3">
        <f t="shared" si="3"/>
        <v>0</v>
      </c>
      <c r="K48" s="3">
        <f t="shared" si="3"/>
        <v>0</v>
      </c>
      <c r="L48" s="3">
        <f t="shared" si="3"/>
        <v>0</v>
      </c>
      <c r="M48" s="3">
        <f t="shared" si="3"/>
        <v>0</v>
      </c>
      <c r="N48" s="3">
        <f t="shared" si="3"/>
        <v>0</v>
      </c>
      <c r="O48" s="174"/>
    </row>
    <row r="49" spans="5:5" x14ac:dyDescent="0.2">
      <c r="E49" s="2"/>
    </row>
    <row r="50" spans="5:5" x14ac:dyDescent="0.2">
      <c r="E50" s="2"/>
    </row>
    <row r="51" spans="5:5" x14ac:dyDescent="0.2">
      <c r="E51" s="2"/>
    </row>
    <row r="52" spans="5:5" x14ac:dyDescent="0.2">
      <c r="E52" s="2"/>
    </row>
    <row r="53" spans="5:5" x14ac:dyDescent="0.2">
      <c r="E53" s="2"/>
    </row>
  </sheetData>
  <mergeCells count="1">
    <mergeCell ref="R26:S26"/>
  </mergeCells>
  <conditionalFormatting sqref="C4:C47">
    <cfRule type="expression" dxfId="19" priority="1">
      <formula>$M4&lt;0</formula>
    </cfRule>
  </conditionalFormatting>
  <conditionalFormatting sqref="M4:M47">
    <cfRule type="cellIs" dxfId="18" priority="22" operator="lessThan">
      <formula>0</formula>
    </cfRule>
  </conditionalFormatting>
  <pageMargins left="0.7" right="0.7" top="0.75" bottom="0.75" header="0.3" footer="0.3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V48"/>
  <sheetViews>
    <sheetView showGridLines="0" workbookViewId="0">
      <selection activeCell="O38" sqref="O38"/>
    </sheetView>
  </sheetViews>
  <sheetFormatPr baseColWidth="10" defaultColWidth="8.83203125" defaultRowHeight="15" x14ac:dyDescent="0.2"/>
  <cols>
    <col min="1" max="1" width="7.6640625" style="1" customWidth="1"/>
    <col min="2" max="2" width="12.1640625" style="26" customWidth="1"/>
    <col min="3" max="3" width="20.5" style="1" bestFit="1" customWidth="1"/>
    <col min="4" max="13" width="12.1640625" customWidth="1"/>
    <col min="14" max="14" width="13.1640625" style="22" customWidth="1"/>
    <col min="15" max="15" width="15" customWidth="1"/>
    <col min="16" max="17" width="6" style="1" customWidth="1"/>
    <col min="18" max="18" width="12.5" bestFit="1" customWidth="1"/>
    <col min="19" max="19" width="10.5" customWidth="1"/>
  </cols>
  <sheetData>
    <row r="1" spans="1:22" x14ac:dyDescent="0.2">
      <c r="A1" s="4" t="s">
        <v>0</v>
      </c>
      <c r="B1" s="108">
        <f>'Mon AM'!B1+6</f>
        <v>46124</v>
      </c>
      <c r="C1" s="208"/>
      <c r="D1" s="4" t="s">
        <v>1</v>
      </c>
      <c r="E1" s="6" t="s">
        <v>112</v>
      </c>
    </row>
    <row r="3" spans="1:22" x14ac:dyDescent="0.2">
      <c r="A3" s="4"/>
      <c r="B3" s="23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101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28" t="s">
        <v>16</v>
      </c>
    </row>
    <row r="4" spans="1:22" x14ac:dyDescent="0.2">
      <c r="A4" s="10"/>
      <c r="B4" s="24" t="s">
        <v>113</v>
      </c>
      <c r="C4" s="10" t="s">
        <v>114</v>
      </c>
      <c r="D4" s="11"/>
      <c r="E4" s="11">
        <f t="shared" ref="E4:E47" si="0">IF(AND(VALUE(B4)&lt;100, D4&gt;0),D4*0.5,D4*0.25)</f>
        <v>0</v>
      </c>
      <c r="F4" s="11">
        <f t="shared" ref="F4:F47" si="1">IF(P4="C",Q4,IF(AND(VALUE(B4)&lt;100, D4&gt;0),12,IF(D4&gt;0,2,0)))</f>
        <v>0</v>
      </c>
      <c r="G4" s="11"/>
      <c r="H4" s="11"/>
      <c r="I4" s="31"/>
      <c r="J4" s="31"/>
      <c r="K4" s="31"/>
      <c r="L4" s="29">
        <f t="shared" ref="L4:L47" si="2">(E4+F4+G4+H4)-I4-J4-K4</f>
        <v>0</v>
      </c>
      <c r="M4" s="29"/>
      <c r="N4" s="169"/>
      <c r="O4" s="172"/>
      <c r="P4" s="27" t="s">
        <v>59</v>
      </c>
      <c r="Q4" s="27">
        <v>0</v>
      </c>
      <c r="R4" s="15" t="s">
        <v>19</v>
      </c>
      <c r="S4" s="12">
        <f>D48</f>
        <v>0</v>
      </c>
      <c r="U4" s="1"/>
      <c r="V4" s="1"/>
    </row>
    <row r="5" spans="1:22" x14ac:dyDescent="0.2">
      <c r="A5" s="9"/>
      <c r="B5" s="25" t="s">
        <v>115</v>
      </c>
      <c r="C5" s="10" t="s">
        <v>116</v>
      </c>
      <c r="D5" s="7"/>
      <c r="E5" s="11">
        <f t="shared" si="0"/>
        <v>0</v>
      </c>
      <c r="F5" s="11">
        <f t="shared" si="1"/>
        <v>0</v>
      </c>
      <c r="G5" s="11"/>
      <c r="H5" s="11"/>
      <c r="I5" s="32"/>
      <c r="J5" s="32"/>
      <c r="K5" s="32"/>
      <c r="L5" s="29">
        <f t="shared" si="2"/>
        <v>0</v>
      </c>
      <c r="M5" s="29"/>
      <c r="N5" s="169"/>
      <c r="O5" s="91"/>
      <c r="P5" s="27"/>
      <c r="Q5" s="27">
        <v>6</v>
      </c>
      <c r="R5" s="16" t="s">
        <v>22</v>
      </c>
      <c r="S5" s="13">
        <f>E48</f>
        <v>0</v>
      </c>
      <c r="U5" s="1"/>
      <c r="V5" s="1"/>
    </row>
    <row r="6" spans="1:22" x14ac:dyDescent="0.2">
      <c r="A6" s="9"/>
      <c r="B6" s="25" t="s">
        <v>117</v>
      </c>
      <c r="C6" s="10" t="s">
        <v>118</v>
      </c>
      <c r="D6" s="7"/>
      <c r="E6" s="11">
        <f t="shared" si="0"/>
        <v>0</v>
      </c>
      <c r="F6" s="11">
        <f t="shared" si="1"/>
        <v>0</v>
      </c>
      <c r="G6" s="11"/>
      <c r="H6" s="11"/>
      <c r="I6" s="32"/>
      <c r="J6" s="32"/>
      <c r="K6" s="32"/>
      <c r="L6" s="29">
        <f t="shared" si="2"/>
        <v>0</v>
      </c>
      <c r="M6" s="29"/>
      <c r="N6" s="169"/>
      <c r="O6" s="91"/>
      <c r="P6" s="27"/>
      <c r="Q6" s="27">
        <v>0</v>
      </c>
      <c r="R6" s="16" t="s">
        <v>7</v>
      </c>
      <c r="S6" s="13">
        <f>F48</f>
        <v>0</v>
      </c>
    </row>
    <row r="7" spans="1:22" x14ac:dyDescent="0.2">
      <c r="A7" s="9"/>
      <c r="B7" s="25" t="s">
        <v>17</v>
      </c>
      <c r="C7" s="10" t="s">
        <v>119</v>
      </c>
      <c r="D7" s="7"/>
      <c r="E7" s="11">
        <f t="shared" si="0"/>
        <v>0</v>
      </c>
      <c r="F7" s="11">
        <f t="shared" si="1"/>
        <v>0</v>
      </c>
      <c r="G7" s="11"/>
      <c r="H7" s="11"/>
      <c r="I7" s="32"/>
      <c r="J7" s="32"/>
      <c r="K7" s="32"/>
      <c r="L7" s="29">
        <f t="shared" si="2"/>
        <v>0</v>
      </c>
      <c r="M7" s="29"/>
      <c r="N7" s="169"/>
      <c r="O7" s="91"/>
      <c r="P7" s="27"/>
      <c r="Q7" s="27"/>
      <c r="R7" s="16" t="s">
        <v>8</v>
      </c>
      <c r="S7" s="13">
        <f>G48</f>
        <v>0</v>
      </c>
    </row>
    <row r="8" spans="1:22" x14ac:dyDescent="0.2">
      <c r="A8" s="9"/>
      <c r="B8" s="25" t="s">
        <v>120</v>
      </c>
      <c r="C8" s="10" t="s">
        <v>121</v>
      </c>
      <c r="D8" s="7"/>
      <c r="E8" s="11">
        <f t="shared" si="0"/>
        <v>0</v>
      </c>
      <c r="F8" s="11">
        <f t="shared" si="1"/>
        <v>0</v>
      </c>
      <c r="G8" s="11"/>
      <c r="H8" s="11"/>
      <c r="I8" s="32"/>
      <c r="J8" s="32"/>
      <c r="K8" s="32"/>
      <c r="L8" s="29">
        <f t="shared" si="2"/>
        <v>0</v>
      </c>
      <c r="M8" s="29"/>
      <c r="N8" s="169"/>
      <c r="O8" s="91"/>
      <c r="P8" s="27"/>
      <c r="Q8" s="27">
        <v>0</v>
      </c>
      <c r="R8" s="16" t="s">
        <v>9</v>
      </c>
      <c r="S8" s="13">
        <f>H48</f>
        <v>0</v>
      </c>
    </row>
    <row r="9" spans="1:22" x14ac:dyDescent="0.2">
      <c r="A9" s="9"/>
      <c r="B9" s="25" t="s">
        <v>111</v>
      </c>
      <c r="C9" s="10" t="s">
        <v>122</v>
      </c>
      <c r="D9" s="7"/>
      <c r="E9" s="11">
        <f t="shared" si="0"/>
        <v>0</v>
      </c>
      <c r="F9" s="11">
        <f t="shared" si="1"/>
        <v>0</v>
      </c>
      <c r="G9" s="11"/>
      <c r="H9" s="11"/>
      <c r="I9" s="32"/>
      <c r="J9" s="32"/>
      <c r="K9" s="32"/>
      <c r="L9" s="29">
        <f t="shared" si="2"/>
        <v>0</v>
      </c>
      <c r="M9" s="29"/>
      <c r="N9" s="169"/>
      <c r="O9" s="91"/>
      <c r="P9" s="27"/>
      <c r="Q9" s="27">
        <v>6</v>
      </c>
      <c r="R9" s="16" t="s">
        <v>10</v>
      </c>
      <c r="S9" s="13">
        <f>I48</f>
        <v>0</v>
      </c>
    </row>
    <row r="10" spans="1:22" x14ac:dyDescent="0.2">
      <c r="A10" s="9"/>
      <c r="B10" s="25" t="s">
        <v>52</v>
      </c>
      <c r="C10" s="10" t="s">
        <v>123</v>
      </c>
      <c r="D10" s="7"/>
      <c r="E10" s="11">
        <f t="shared" si="0"/>
        <v>0</v>
      </c>
      <c r="F10" s="11">
        <f t="shared" si="1"/>
        <v>0</v>
      </c>
      <c r="G10" s="11"/>
      <c r="H10" s="11"/>
      <c r="I10" s="32"/>
      <c r="J10" s="32"/>
      <c r="K10" s="32"/>
      <c r="L10" s="29">
        <f t="shared" si="2"/>
        <v>0</v>
      </c>
      <c r="M10" s="29"/>
      <c r="N10" s="169"/>
      <c r="O10" s="91"/>
      <c r="P10" s="27"/>
      <c r="Q10" s="27">
        <v>0</v>
      </c>
      <c r="R10" s="16" t="s">
        <v>11</v>
      </c>
      <c r="S10" s="13">
        <f>J48</f>
        <v>0</v>
      </c>
    </row>
    <row r="11" spans="1:22" x14ac:dyDescent="0.2">
      <c r="A11" s="9"/>
      <c r="B11" s="25" t="s">
        <v>97</v>
      </c>
      <c r="C11" s="10" t="s">
        <v>124</v>
      </c>
      <c r="D11" s="7"/>
      <c r="E11" s="11">
        <f t="shared" si="0"/>
        <v>0</v>
      </c>
      <c r="F11" s="11">
        <f t="shared" si="1"/>
        <v>0</v>
      </c>
      <c r="G11" s="11"/>
      <c r="H11" s="11"/>
      <c r="I11" s="32"/>
      <c r="J11" s="32"/>
      <c r="K11" s="32"/>
      <c r="L11" s="29">
        <f t="shared" si="2"/>
        <v>0</v>
      </c>
      <c r="M11" s="29"/>
      <c r="N11" s="169"/>
      <c r="O11" s="91"/>
      <c r="P11" s="27"/>
      <c r="Q11" s="27">
        <v>6</v>
      </c>
      <c r="R11" s="16" t="s">
        <v>12</v>
      </c>
      <c r="S11" s="13">
        <f>K48</f>
        <v>0</v>
      </c>
    </row>
    <row r="12" spans="1:22" x14ac:dyDescent="0.2">
      <c r="A12" s="102"/>
      <c r="B12" s="25" t="s">
        <v>47</v>
      </c>
      <c r="C12" s="10" t="s">
        <v>140</v>
      </c>
      <c r="D12" s="7"/>
      <c r="E12" s="11">
        <f t="shared" si="0"/>
        <v>0</v>
      </c>
      <c r="F12" s="11">
        <f t="shared" si="1"/>
        <v>0</v>
      </c>
      <c r="G12" s="11"/>
      <c r="H12" s="11"/>
      <c r="I12" s="32"/>
      <c r="J12" s="32"/>
      <c r="K12" s="32"/>
      <c r="L12" s="29">
        <f t="shared" si="2"/>
        <v>0</v>
      </c>
      <c r="M12" s="29"/>
      <c r="N12" s="170"/>
      <c r="O12" s="173"/>
      <c r="P12" s="27"/>
      <c r="Q12" s="27">
        <v>0</v>
      </c>
      <c r="R12" s="17" t="s">
        <v>37</v>
      </c>
      <c r="S12" s="14">
        <f>N48</f>
        <v>0</v>
      </c>
    </row>
    <row r="13" spans="1:22" x14ac:dyDescent="0.2">
      <c r="A13" s="102"/>
      <c r="B13" s="25" t="s">
        <v>111</v>
      </c>
      <c r="C13" s="10" t="s">
        <v>126</v>
      </c>
      <c r="D13" s="7"/>
      <c r="E13" s="11">
        <f t="shared" si="0"/>
        <v>0</v>
      </c>
      <c r="F13" s="11">
        <f t="shared" si="1"/>
        <v>0</v>
      </c>
      <c r="G13" s="11"/>
      <c r="H13" s="11"/>
      <c r="I13" s="32"/>
      <c r="J13" s="32"/>
      <c r="K13" s="32"/>
      <c r="L13" s="29">
        <f t="shared" si="2"/>
        <v>0</v>
      </c>
      <c r="M13" s="29"/>
      <c r="N13" s="169"/>
      <c r="O13" s="91"/>
      <c r="P13" s="27"/>
      <c r="Q13" s="27">
        <v>0</v>
      </c>
      <c r="R13" s="18"/>
      <c r="S13" s="30">
        <f>S5+S6+S7-S9-S10-S11-S12</f>
        <v>0</v>
      </c>
      <c r="T13" s="22"/>
    </row>
    <row r="14" spans="1:22" x14ac:dyDescent="0.2">
      <c r="A14" s="9"/>
      <c r="B14" s="25" t="s">
        <v>52</v>
      </c>
      <c r="C14" s="10" t="s">
        <v>125</v>
      </c>
      <c r="D14" s="7"/>
      <c r="E14" s="11">
        <f t="shared" si="0"/>
        <v>0</v>
      </c>
      <c r="F14" s="11">
        <f t="shared" si="1"/>
        <v>0</v>
      </c>
      <c r="G14" s="11"/>
      <c r="H14" s="11"/>
      <c r="I14" s="32"/>
      <c r="J14" s="32"/>
      <c r="K14" s="32"/>
      <c r="L14" s="29">
        <f t="shared" si="2"/>
        <v>0</v>
      </c>
      <c r="M14" s="29"/>
      <c r="N14" s="169"/>
      <c r="O14" s="91"/>
      <c r="P14" s="27"/>
      <c r="Q14" s="27">
        <v>0</v>
      </c>
      <c r="R14" s="19" t="s">
        <v>42</v>
      </c>
      <c r="S14" s="20">
        <f>M48</f>
        <v>0</v>
      </c>
    </row>
    <row r="15" spans="1:22" x14ac:dyDescent="0.2">
      <c r="A15" s="9"/>
      <c r="B15" s="25" t="s">
        <v>47</v>
      </c>
      <c r="C15" s="10" t="s">
        <v>50</v>
      </c>
      <c r="D15" s="7"/>
      <c r="E15" s="11">
        <f t="shared" si="0"/>
        <v>0</v>
      </c>
      <c r="F15" s="11">
        <f t="shared" si="1"/>
        <v>0</v>
      </c>
      <c r="G15" s="11"/>
      <c r="H15" s="11"/>
      <c r="I15" s="32"/>
      <c r="J15" s="32"/>
      <c r="K15" s="32"/>
      <c r="L15" s="29">
        <f t="shared" si="2"/>
        <v>0</v>
      </c>
      <c r="M15" s="29"/>
      <c r="N15" s="169"/>
      <c r="O15" s="91"/>
      <c r="P15" s="27"/>
      <c r="Q15" s="27"/>
    </row>
    <row r="16" spans="1:22" x14ac:dyDescent="0.2">
      <c r="A16" s="9"/>
      <c r="B16" s="25" t="s">
        <v>47</v>
      </c>
      <c r="C16" s="10" t="s">
        <v>129</v>
      </c>
      <c r="D16" s="7"/>
      <c r="E16" s="11">
        <f t="shared" si="0"/>
        <v>0</v>
      </c>
      <c r="F16" s="11">
        <f t="shared" si="1"/>
        <v>0</v>
      </c>
      <c r="G16" s="11"/>
      <c r="H16" s="11"/>
      <c r="I16" s="32"/>
      <c r="J16" s="32"/>
      <c r="K16" s="32"/>
      <c r="L16" s="29">
        <f t="shared" si="2"/>
        <v>0</v>
      </c>
      <c r="M16" s="29"/>
      <c r="N16" s="169"/>
      <c r="O16" s="91"/>
      <c r="P16" s="27"/>
      <c r="Q16" s="27">
        <v>6</v>
      </c>
      <c r="R16" s="35"/>
      <c r="S16" s="35"/>
      <c r="T16" s="35"/>
      <c r="U16" s="35"/>
    </row>
    <row r="17" spans="1:21" x14ac:dyDescent="0.2">
      <c r="A17" s="9"/>
      <c r="B17" s="25" t="s">
        <v>31</v>
      </c>
      <c r="C17" s="10" t="s">
        <v>130</v>
      </c>
      <c r="D17" s="7"/>
      <c r="E17" s="11">
        <f t="shared" si="0"/>
        <v>0</v>
      </c>
      <c r="F17" s="11">
        <f t="shared" si="1"/>
        <v>0</v>
      </c>
      <c r="G17" s="11"/>
      <c r="H17" s="11"/>
      <c r="I17" s="32"/>
      <c r="J17" s="32"/>
      <c r="K17" s="32"/>
      <c r="L17" s="29">
        <f t="shared" si="2"/>
        <v>0</v>
      </c>
      <c r="M17" s="29"/>
      <c r="N17" s="169"/>
      <c r="O17" s="91"/>
      <c r="P17" s="27"/>
      <c r="Q17" s="27">
        <v>6</v>
      </c>
      <c r="R17" s="35"/>
      <c r="S17" s="35"/>
      <c r="T17" s="35"/>
      <c r="U17" s="35"/>
    </row>
    <row r="18" spans="1:21" x14ac:dyDescent="0.2">
      <c r="A18" s="9"/>
      <c r="B18" s="25" t="s">
        <v>131</v>
      </c>
      <c r="C18" s="10" t="s">
        <v>132</v>
      </c>
      <c r="D18" s="7"/>
      <c r="E18" s="11">
        <f t="shared" si="0"/>
        <v>0</v>
      </c>
      <c r="F18" s="11">
        <f t="shared" si="1"/>
        <v>0</v>
      </c>
      <c r="G18" s="11"/>
      <c r="H18" s="11"/>
      <c r="I18" s="32"/>
      <c r="J18" s="32"/>
      <c r="K18" s="32"/>
      <c r="L18" s="29">
        <f t="shared" si="2"/>
        <v>0</v>
      </c>
      <c r="M18" s="29"/>
      <c r="N18" s="169"/>
      <c r="O18" s="91"/>
      <c r="P18" s="27" t="s">
        <v>59</v>
      </c>
      <c r="Q18" s="27">
        <v>0</v>
      </c>
      <c r="R18" s="15" t="s">
        <v>51</v>
      </c>
      <c r="S18" s="95">
        <f t="array" ref="S18">SUMPRODUCT((VALUE(B4:B47)&lt;100)*(D4:D47&gt;0))</f>
        <v>0</v>
      </c>
      <c r="T18" s="35"/>
      <c r="U18" s="35"/>
    </row>
    <row r="19" spans="1:21" x14ac:dyDescent="0.2">
      <c r="A19" s="9"/>
      <c r="B19" s="25" t="s">
        <v>89</v>
      </c>
      <c r="C19" s="10" t="s">
        <v>133</v>
      </c>
      <c r="D19" s="7"/>
      <c r="E19" s="11">
        <f t="shared" si="0"/>
        <v>0</v>
      </c>
      <c r="F19" s="11">
        <f t="shared" si="1"/>
        <v>0</v>
      </c>
      <c r="G19" s="11"/>
      <c r="H19" s="11"/>
      <c r="I19" s="32"/>
      <c r="J19" s="32"/>
      <c r="K19" s="32"/>
      <c r="L19" s="29">
        <f t="shared" si="2"/>
        <v>0</v>
      </c>
      <c r="M19" s="29"/>
      <c r="N19" s="169"/>
      <c r="O19" s="91"/>
      <c r="P19" s="27"/>
      <c r="Q19" s="27">
        <v>0</v>
      </c>
      <c r="R19" s="16" t="s">
        <v>54</v>
      </c>
      <c r="S19" s="96">
        <f t="array" ref="S19">SUMPRODUCT((VALUE(B4:B47)&gt;100)*(D4:D47&gt;0))</f>
        <v>0</v>
      </c>
      <c r="T19" s="35"/>
      <c r="U19" s="35"/>
    </row>
    <row r="20" spans="1:21" x14ac:dyDescent="0.2">
      <c r="A20" s="9"/>
      <c r="B20" s="25" t="s">
        <v>134</v>
      </c>
      <c r="C20" s="10" t="s">
        <v>135</v>
      </c>
      <c r="D20" s="7"/>
      <c r="E20" s="11">
        <f t="shared" si="0"/>
        <v>0</v>
      </c>
      <c r="F20" s="11">
        <f t="shared" si="1"/>
        <v>0</v>
      </c>
      <c r="G20" s="11"/>
      <c r="H20" s="11"/>
      <c r="I20" s="32"/>
      <c r="J20" s="32"/>
      <c r="K20" s="32"/>
      <c r="L20" s="29">
        <f t="shared" si="2"/>
        <v>0</v>
      </c>
      <c r="M20" s="29"/>
      <c r="N20" s="169"/>
      <c r="O20" s="91"/>
      <c r="P20" s="27" t="s">
        <v>59</v>
      </c>
      <c r="Q20" s="27">
        <v>0</v>
      </c>
      <c r="R20" s="17" t="s">
        <v>57</v>
      </c>
      <c r="S20" s="97">
        <f>S18+S19</f>
        <v>0</v>
      </c>
      <c r="T20" s="35"/>
      <c r="U20" s="35"/>
    </row>
    <row r="21" spans="1:21" x14ac:dyDescent="0.2">
      <c r="A21" s="9"/>
      <c r="B21" s="25" t="s">
        <v>145</v>
      </c>
      <c r="C21" s="10" t="s">
        <v>146</v>
      </c>
      <c r="D21" s="7"/>
      <c r="E21" s="11">
        <f t="shared" si="0"/>
        <v>0</v>
      </c>
      <c r="F21" s="11">
        <f t="shared" si="1"/>
        <v>0</v>
      </c>
      <c r="G21" s="11"/>
      <c r="H21" s="11"/>
      <c r="I21" s="32"/>
      <c r="J21" s="32"/>
      <c r="K21" s="32"/>
      <c r="L21" s="29">
        <f t="shared" si="2"/>
        <v>0</v>
      </c>
      <c r="M21" s="29"/>
      <c r="N21" s="169"/>
      <c r="O21" s="91"/>
      <c r="P21" s="27" t="s">
        <v>59</v>
      </c>
      <c r="Q21" s="27">
        <v>0</v>
      </c>
      <c r="R21" s="35"/>
      <c r="S21" s="35"/>
      <c r="T21" s="35"/>
      <c r="U21" s="35"/>
    </row>
    <row r="22" spans="1:21" x14ac:dyDescent="0.2">
      <c r="A22" s="9"/>
      <c r="B22" s="25" t="s">
        <v>131</v>
      </c>
      <c r="C22" s="10" t="s">
        <v>137</v>
      </c>
      <c r="D22" s="7"/>
      <c r="E22" s="11">
        <f t="shared" si="0"/>
        <v>0</v>
      </c>
      <c r="F22" s="11">
        <f t="shared" si="1"/>
        <v>0</v>
      </c>
      <c r="G22" s="11"/>
      <c r="H22" s="11"/>
      <c r="I22" s="32"/>
      <c r="J22" s="32"/>
      <c r="K22" s="32"/>
      <c r="L22" s="29">
        <f t="shared" si="2"/>
        <v>0</v>
      </c>
      <c r="M22" s="29"/>
      <c r="N22" s="169"/>
      <c r="O22" s="91"/>
      <c r="P22" s="27"/>
      <c r="Q22" s="27">
        <v>6</v>
      </c>
    </row>
    <row r="23" spans="1:21" x14ac:dyDescent="0.2">
      <c r="A23" s="9"/>
      <c r="B23" s="25" t="s">
        <v>77</v>
      </c>
      <c r="C23" s="10" t="s">
        <v>139</v>
      </c>
      <c r="D23" s="7"/>
      <c r="E23" s="11">
        <f t="shared" si="0"/>
        <v>0</v>
      </c>
      <c r="F23" s="11">
        <f t="shared" si="1"/>
        <v>0</v>
      </c>
      <c r="G23" s="11"/>
      <c r="H23" s="11"/>
      <c r="I23" s="32"/>
      <c r="J23" s="32"/>
      <c r="K23" s="32"/>
      <c r="L23" s="29">
        <f t="shared" si="2"/>
        <v>0</v>
      </c>
      <c r="M23" s="29"/>
      <c r="N23" s="169"/>
      <c r="O23" s="91"/>
      <c r="P23" s="98" t="s">
        <v>59</v>
      </c>
      <c r="Q23" s="98">
        <v>0</v>
      </c>
    </row>
    <row r="24" spans="1:21" x14ac:dyDescent="0.2">
      <c r="A24" s="9"/>
      <c r="B24" s="25" t="s">
        <v>111</v>
      </c>
      <c r="C24" s="10" t="s">
        <v>170</v>
      </c>
      <c r="D24" s="7"/>
      <c r="E24" s="11">
        <f t="shared" si="0"/>
        <v>0</v>
      </c>
      <c r="F24" s="11">
        <f t="shared" si="1"/>
        <v>0</v>
      </c>
      <c r="G24" s="11"/>
      <c r="H24" s="11"/>
      <c r="I24" s="32"/>
      <c r="J24" s="32"/>
      <c r="K24" s="32"/>
      <c r="L24" s="29">
        <f t="shared" si="2"/>
        <v>0</v>
      </c>
      <c r="M24" s="29"/>
      <c r="N24" s="169"/>
      <c r="O24" s="91"/>
      <c r="P24" s="27"/>
      <c r="Q24" s="27"/>
    </row>
    <row r="25" spans="1:21" x14ac:dyDescent="0.2">
      <c r="A25" s="9"/>
      <c r="B25" s="25" t="s">
        <v>27</v>
      </c>
      <c r="C25" s="10" t="s">
        <v>141</v>
      </c>
      <c r="D25" s="7"/>
      <c r="E25" s="11">
        <f t="shared" si="0"/>
        <v>0</v>
      </c>
      <c r="F25" s="11">
        <f t="shared" si="1"/>
        <v>0</v>
      </c>
      <c r="G25" s="11"/>
      <c r="H25" s="11"/>
      <c r="I25" s="32"/>
      <c r="J25" s="32"/>
      <c r="K25" s="32"/>
      <c r="L25" s="29">
        <f t="shared" si="2"/>
        <v>0</v>
      </c>
      <c r="M25" s="29"/>
      <c r="N25" s="169"/>
      <c r="O25" s="91"/>
      <c r="P25" s="27"/>
      <c r="Q25" s="27">
        <v>0</v>
      </c>
    </row>
    <row r="26" spans="1:21" x14ac:dyDescent="0.2">
      <c r="A26" s="9"/>
      <c r="B26" s="25" t="s">
        <v>104</v>
      </c>
      <c r="C26" s="10" t="s">
        <v>136</v>
      </c>
      <c r="D26" s="7"/>
      <c r="E26" s="11">
        <f t="shared" si="0"/>
        <v>0</v>
      </c>
      <c r="F26" s="11">
        <f t="shared" si="1"/>
        <v>0</v>
      </c>
      <c r="G26" s="11"/>
      <c r="H26" s="11"/>
      <c r="I26" s="32"/>
      <c r="J26" s="32"/>
      <c r="K26" s="32"/>
      <c r="L26" s="29">
        <f t="shared" si="2"/>
        <v>0</v>
      </c>
      <c r="M26" s="29"/>
      <c r="N26" s="169"/>
      <c r="O26" s="91"/>
      <c r="P26" s="27"/>
      <c r="Q26" s="168">
        <v>6</v>
      </c>
    </row>
    <row r="27" spans="1:21" x14ac:dyDescent="0.2">
      <c r="A27" s="9"/>
      <c r="B27" s="25" t="s">
        <v>195</v>
      </c>
      <c r="C27" s="10" t="s">
        <v>196</v>
      </c>
      <c r="D27" s="7"/>
      <c r="E27" s="11">
        <f t="shared" si="0"/>
        <v>0</v>
      </c>
      <c r="F27" s="11">
        <f t="shared" si="1"/>
        <v>0</v>
      </c>
      <c r="G27" s="11"/>
      <c r="H27" s="11"/>
      <c r="I27" s="32"/>
      <c r="J27" s="32"/>
      <c r="K27" s="32"/>
      <c r="L27" s="29">
        <f t="shared" si="2"/>
        <v>0</v>
      </c>
      <c r="M27" s="29"/>
      <c r="N27" s="169"/>
      <c r="O27" s="91"/>
      <c r="P27" s="168"/>
      <c r="Q27" s="168">
        <v>6</v>
      </c>
      <c r="R27" s="212"/>
      <c r="S27" s="213"/>
    </row>
    <row r="28" spans="1:21" x14ac:dyDescent="0.2">
      <c r="A28" s="9"/>
      <c r="B28" s="25" t="s">
        <v>197</v>
      </c>
      <c r="C28" s="10" t="s">
        <v>198</v>
      </c>
      <c r="D28" s="7"/>
      <c r="E28" s="11">
        <f t="shared" si="0"/>
        <v>0</v>
      </c>
      <c r="F28" s="11">
        <f t="shared" si="1"/>
        <v>0</v>
      </c>
      <c r="G28" s="11"/>
      <c r="H28" s="11"/>
      <c r="I28" s="32"/>
      <c r="J28" s="32"/>
      <c r="K28" s="32"/>
      <c r="L28" s="29">
        <f t="shared" si="2"/>
        <v>0</v>
      </c>
      <c r="M28" s="29"/>
      <c r="N28" s="169"/>
      <c r="O28" s="91"/>
      <c r="P28" s="27"/>
      <c r="Q28" s="27">
        <v>0</v>
      </c>
      <c r="S28" s="22"/>
      <c r="T28" s="27">
        <v>1</v>
      </c>
    </row>
    <row r="29" spans="1:21" x14ac:dyDescent="0.2">
      <c r="A29" s="9"/>
      <c r="B29" s="25" t="s">
        <v>142</v>
      </c>
      <c r="C29" s="10" t="s">
        <v>143</v>
      </c>
      <c r="D29" s="7"/>
      <c r="E29" s="11">
        <f t="shared" si="0"/>
        <v>0</v>
      </c>
      <c r="F29" s="11">
        <f t="shared" si="1"/>
        <v>0</v>
      </c>
      <c r="G29" s="11"/>
      <c r="H29" s="11"/>
      <c r="I29" s="32"/>
      <c r="J29" s="32"/>
      <c r="K29" s="32"/>
      <c r="L29" s="29">
        <f t="shared" si="2"/>
        <v>0</v>
      </c>
      <c r="M29" s="29"/>
      <c r="N29" s="169"/>
      <c r="O29" s="91"/>
      <c r="S29" s="22"/>
      <c r="T29" s="27"/>
    </row>
    <row r="30" spans="1:21" x14ac:dyDescent="0.2">
      <c r="A30" s="9"/>
      <c r="B30" s="25" t="s">
        <v>186</v>
      </c>
      <c r="C30" s="10" t="s">
        <v>21</v>
      </c>
      <c r="D30" s="7"/>
      <c r="E30" s="11">
        <f t="shared" si="0"/>
        <v>0</v>
      </c>
      <c r="F30" s="11">
        <f t="shared" si="1"/>
        <v>0</v>
      </c>
      <c r="G30" s="11"/>
      <c r="H30" s="11"/>
      <c r="I30" s="32"/>
      <c r="J30" s="32"/>
      <c r="K30" s="32"/>
      <c r="L30" s="29">
        <f t="shared" si="2"/>
        <v>0</v>
      </c>
      <c r="M30" s="29"/>
      <c r="N30" s="169"/>
      <c r="O30" s="91"/>
      <c r="P30" s="168"/>
      <c r="S30" s="22"/>
    </row>
    <row r="31" spans="1:21" x14ac:dyDescent="0.2">
      <c r="A31" s="9"/>
      <c r="B31" s="25" t="s">
        <v>162</v>
      </c>
      <c r="C31" s="10" t="s">
        <v>163</v>
      </c>
      <c r="D31" s="7"/>
      <c r="E31" s="11">
        <f t="shared" si="0"/>
        <v>0</v>
      </c>
      <c r="F31" s="11">
        <f t="shared" si="1"/>
        <v>0</v>
      </c>
      <c r="G31" s="11"/>
      <c r="H31" s="11"/>
      <c r="I31" s="32"/>
      <c r="J31" s="32"/>
      <c r="K31" s="32"/>
      <c r="L31" s="29">
        <f t="shared" si="2"/>
        <v>0</v>
      </c>
      <c r="M31" s="29"/>
      <c r="N31" s="169"/>
      <c r="O31" s="91"/>
      <c r="R31" s="18"/>
      <c r="S31" s="3"/>
    </row>
    <row r="32" spans="1:21" x14ac:dyDescent="0.2">
      <c r="A32" s="9"/>
      <c r="B32" s="25" t="s">
        <v>152</v>
      </c>
      <c r="C32" s="10" t="s">
        <v>153</v>
      </c>
      <c r="D32" s="7"/>
      <c r="E32" s="11">
        <f t="shared" si="0"/>
        <v>0</v>
      </c>
      <c r="F32" s="11">
        <f t="shared" si="1"/>
        <v>0</v>
      </c>
      <c r="G32" s="11"/>
      <c r="H32" s="11"/>
      <c r="I32" s="32"/>
      <c r="J32" s="32"/>
      <c r="K32" s="32"/>
      <c r="L32" s="29">
        <f t="shared" si="2"/>
        <v>0</v>
      </c>
      <c r="M32" s="29"/>
      <c r="N32" s="169"/>
      <c r="O32" s="91"/>
    </row>
    <row r="33" spans="1:19" x14ac:dyDescent="0.2">
      <c r="A33" s="9"/>
      <c r="B33" s="25" t="s">
        <v>150</v>
      </c>
      <c r="C33" s="10" t="s">
        <v>151</v>
      </c>
      <c r="D33" s="7"/>
      <c r="E33" s="11">
        <f t="shared" si="0"/>
        <v>0</v>
      </c>
      <c r="F33" s="11">
        <f t="shared" si="1"/>
        <v>0</v>
      </c>
      <c r="G33" s="11"/>
      <c r="H33" s="11"/>
      <c r="I33" s="32"/>
      <c r="J33" s="32"/>
      <c r="K33" s="32"/>
      <c r="L33" s="29">
        <f t="shared" si="2"/>
        <v>0</v>
      </c>
      <c r="M33" s="29"/>
      <c r="N33" s="169"/>
      <c r="O33" s="91"/>
    </row>
    <row r="34" spans="1:19" x14ac:dyDescent="0.2">
      <c r="A34" s="9"/>
      <c r="B34" s="25" t="s">
        <v>97</v>
      </c>
      <c r="C34" s="10" t="s">
        <v>149</v>
      </c>
      <c r="D34" s="7"/>
      <c r="E34" s="11">
        <f t="shared" si="0"/>
        <v>0</v>
      </c>
      <c r="F34" s="11">
        <f t="shared" si="1"/>
        <v>0</v>
      </c>
      <c r="G34" s="11"/>
      <c r="H34" s="11"/>
      <c r="I34" s="32"/>
      <c r="J34" s="32"/>
      <c r="K34" s="32"/>
      <c r="L34" s="29">
        <f t="shared" si="2"/>
        <v>0</v>
      </c>
      <c r="M34" s="29"/>
      <c r="N34" s="169"/>
      <c r="O34" s="91"/>
      <c r="R34" s="18"/>
      <c r="S34" s="1"/>
    </row>
    <row r="35" spans="1:19" x14ac:dyDescent="0.2">
      <c r="A35" s="9"/>
      <c r="B35" s="25" t="s">
        <v>25</v>
      </c>
      <c r="C35" s="10" t="s">
        <v>26</v>
      </c>
      <c r="D35" s="7"/>
      <c r="E35" s="11">
        <f t="shared" si="0"/>
        <v>0</v>
      </c>
      <c r="F35" s="11">
        <f t="shared" si="1"/>
        <v>0</v>
      </c>
      <c r="G35" s="11"/>
      <c r="H35" s="11"/>
      <c r="I35" s="32"/>
      <c r="J35" s="32"/>
      <c r="K35" s="32"/>
      <c r="L35" s="29">
        <f t="shared" si="2"/>
        <v>0</v>
      </c>
      <c r="M35" s="29"/>
      <c r="N35" s="169"/>
      <c r="O35" s="91"/>
      <c r="R35" s="18"/>
      <c r="S35" s="1"/>
    </row>
    <row r="36" spans="1:19" x14ac:dyDescent="0.2">
      <c r="A36" s="9"/>
      <c r="B36" s="25" t="s">
        <v>131</v>
      </c>
      <c r="C36" s="10" t="s">
        <v>100</v>
      </c>
      <c r="D36" s="7"/>
      <c r="E36" s="11">
        <f t="shared" si="0"/>
        <v>0</v>
      </c>
      <c r="F36" s="11">
        <f t="shared" si="1"/>
        <v>0</v>
      </c>
      <c r="G36" s="11"/>
      <c r="H36" s="11"/>
      <c r="I36" s="32"/>
      <c r="J36" s="32"/>
      <c r="K36" s="32"/>
      <c r="L36" s="29">
        <f t="shared" si="2"/>
        <v>0</v>
      </c>
      <c r="M36" s="29"/>
      <c r="N36" s="169"/>
      <c r="O36" s="91"/>
      <c r="R36" s="18"/>
      <c r="S36" s="1"/>
    </row>
    <row r="37" spans="1:19" x14ac:dyDescent="0.2">
      <c r="A37" s="102"/>
      <c r="B37" s="25"/>
      <c r="C37" s="10"/>
      <c r="D37" s="7"/>
      <c r="E37" s="11">
        <f t="shared" si="0"/>
        <v>0</v>
      </c>
      <c r="F37" s="11">
        <f t="shared" si="1"/>
        <v>0</v>
      </c>
      <c r="G37" s="11"/>
      <c r="H37" s="11"/>
      <c r="I37" s="32"/>
      <c r="J37" s="32"/>
      <c r="K37" s="32"/>
      <c r="L37" s="29">
        <f t="shared" si="2"/>
        <v>0</v>
      </c>
      <c r="M37" s="29"/>
      <c r="N37" s="169"/>
      <c r="O37" s="91"/>
    </row>
    <row r="38" spans="1:19" x14ac:dyDescent="0.2">
      <c r="A38" s="9"/>
      <c r="B38" s="25"/>
      <c r="C38" s="10"/>
      <c r="D38" s="7"/>
      <c r="E38" s="11">
        <f t="shared" si="0"/>
        <v>0</v>
      </c>
      <c r="F38" s="11">
        <f t="shared" si="1"/>
        <v>0</v>
      </c>
      <c r="G38" s="11"/>
      <c r="H38" s="11"/>
      <c r="I38" s="32"/>
      <c r="J38" s="32"/>
      <c r="K38" s="32"/>
      <c r="L38" s="29">
        <f t="shared" si="2"/>
        <v>0</v>
      </c>
      <c r="M38" s="29"/>
      <c r="N38" s="169"/>
      <c r="O38" s="91"/>
    </row>
    <row r="39" spans="1:19" x14ac:dyDescent="0.2">
      <c r="A39" s="9"/>
      <c r="B39" s="25"/>
      <c r="C39" s="10" t="s">
        <v>199</v>
      </c>
      <c r="D39" s="7"/>
      <c r="E39" s="11">
        <f t="shared" si="0"/>
        <v>0</v>
      </c>
      <c r="F39" s="11">
        <f t="shared" si="1"/>
        <v>0</v>
      </c>
      <c r="G39" s="11"/>
      <c r="H39" s="11"/>
      <c r="I39" s="32"/>
      <c r="J39" s="32"/>
      <c r="K39" s="32"/>
      <c r="L39" s="29">
        <f t="shared" si="2"/>
        <v>0</v>
      </c>
      <c r="M39" s="29"/>
      <c r="N39" s="169"/>
      <c r="O39" s="91"/>
    </row>
    <row r="40" spans="1:19" x14ac:dyDescent="0.2">
      <c r="A40" s="9"/>
      <c r="B40" s="25"/>
      <c r="C40" s="10" t="s">
        <v>200</v>
      </c>
      <c r="D40" s="7"/>
      <c r="E40" s="11">
        <f t="shared" si="0"/>
        <v>0</v>
      </c>
      <c r="F40" s="11">
        <f t="shared" si="1"/>
        <v>0</v>
      </c>
      <c r="G40" s="11"/>
      <c r="H40" s="11"/>
      <c r="I40" s="32"/>
      <c r="J40" s="32"/>
      <c r="K40" s="32"/>
      <c r="L40" s="29">
        <f t="shared" si="2"/>
        <v>0</v>
      </c>
      <c r="M40" s="29"/>
      <c r="N40" s="169"/>
      <c r="O40" s="91"/>
    </row>
    <row r="41" spans="1:19" x14ac:dyDescent="0.2">
      <c r="A41" s="9"/>
      <c r="B41" s="25"/>
      <c r="C41" s="10" t="s">
        <v>201</v>
      </c>
      <c r="D41" s="8"/>
      <c r="E41" s="11">
        <f t="shared" si="0"/>
        <v>0</v>
      </c>
      <c r="F41" s="11">
        <f t="shared" si="1"/>
        <v>0</v>
      </c>
      <c r="G41" s="11"/>
      <c r="H41" s="11"/>
      <c r="I41" s="33"/>
      <c r="J41" s="33"/>
      <c r="K41" s="33"/>
      <c r="L41" s="29">
        <f t="shared" si="2"/>
        <v>0</v>
      </c>
      <c r="M41" s="29"/>
      <c r="N41" s="171"/>
      <c r="O41" s="25"/>
    </row>
    <row r="42" spans="1:19" x14ac:dyDescent="0.2">
      <c r="A42" s="102"/>
      <c r="B42" s="25"/>
      <c r="C42" s="10" t="s">
        <v>202</v>
      </c>
      <c r="D42" s="7"/>
      <c r="E42" s="11">
        <f t="shared" si="0"/>
        <v>0</v>
      </c>
      <c r="F42" s="11">
        <f t="shared" si="1"/>
        <v>0</v>
      </c>
      <c r="G42" s="11"/>
      <c r="H42" s="11"/>
      <c r="I42" s="32"/>
      <c r="J42" s="32"/>
      <c r="K42" s="32"/>
      <c r="L42" s="29">
        <f t="shared" si="2"/>
        <v>0</v>
      </c>
      <c r="M42" s="29"/>
      <c r="N42" s="169"/>
      <c r="O42" s="91"/>
    </row>
    <row r="43" spans="1:19" x14ac:dyDescent="0.2">
      <c r="A43" s="9"/>
      <c r="B43" s="25"/>
      <c r="C43" s="10"/>
      <c r="D43" s="7"/>
      <c r="E43" s="11">
        <f t="shared" si="0"/>
        <v>0</v>
      </c>
      <c r="F43" s="11">
        <f t="shared" si="1"/>
        <v>0</v>
      </c>
      <c r="G43" s="11"/>
      <c r="H43" s="11"/>
      <c r="I43" s="32"/>
      <c r="J43" s="32"/>
      <c r="K43" s="32"/>
      <c r="L43" s="29">
        <f t="shared" si="2"/>
        <v>0</v>
      </c>
      <c r="M43" s="29"/>
      <c r="N43" s="169"/>
      <c r="O43" s="91"/>
    </row>
    <row r="44" spans="1:19" x14ac:dyDescent="0.2">
      <c r="A44" s="9"/>
      <c r="B44" s="25"/>
      <c r="C44" s="10"/>
      <c r="D44" s="7"/>
      <c r="E44" s="11">
        <f t="shared" si="0"/>
        <v>0</v>
      </c>
      <c r="F44" s="11">
        <f t="shared" si="1"/>
        <v>0</v>
      </c>
      <c r="G44" s="11"/>
      <c r="H44" s="11"/>
      <c r="I44" s="32"/>
      <c r="J44" s="32"/>
      <c r="K44" s="32"/>
      <c r="L44" s="29">
        <f t="shared" si="2"/>
        <v>0</v>
      </c>
      <c r="M44" s="29"/>
      <c r="N44" s="169"/>
      <c r="O44" s="91"/>
    </row>
    <row r="45" spans="1:19" x14ac:dyDescent="0.2">
      <c r="A45" s="9"/>
      <c r="B45" s="103"/>
      <c r="C45" s="10"/>
      <c r="D45" s="7"/>
      <c r="E45" s="11">
        <f t="shared" si="0"/>
        <v>0</v>
      </c>
      <c r="F45" s="11">
        <f t="shared" si="1"/>
        <v>0</v>
      </c>
      <c r="G45" s="11"/>
      <c r="H45" s="11"/>
      <c r="I45" s="32"/>
      <c r="J45" s="32"/>
      <c r="K45" s="32"/>
      <c r="L45" s="29">
        <f t="shared" si="2"/>
        <v>0</v>
      </c>
      <c r="M45" s="29"/>
      <c r="N45" s="169"/>
      <c r="O45" s="91"/>
    </row>
    <row r="46" spans="1:19" x14ac:dyDescent="0.2">
      <c r="A46" s="9"/>
      <c r="B46" s="25"/>
      <c r="C46" s="10"/>
      <c r="D46" s="7"/>
      <c r="E46" s="11">
        <f t="shared" si="0"/>
        <v>0</v>
      </c>
      <c r="F46" s="11">
        <f t="shared" si="1"/>
        <v>0</v>
      </c>
      <c r="G46" s="11"/>
      <c r="H46" s="11"/>
      <c r="I46" s="32"/>
      <c r="J46" s="32"/>
      <c r="K46" s="32"/>
      <c r="L46" s="29">
        <f t="shared" si="2"/>
        <v>0</v>
      </c>
      <c r="M46" s="29"/>
      <c r="N46" s="169"/>
      <c r="O46" s="91"/>
    </row>
    <row r="47" spans="1:19" x14ac:dyDescent="0.2">
      <c r="A47" s="9"/>
      <c r="B47" s="25"/>
      <c r="C47" s="10"/>
      <c r="D47" s="7"/>
      <c r="E47" s="11">
        <f t="shared" si="0"/>
        <v>0</v>
      </c>
      <c r="F47" s="11">
        <f t="shared" si="1"/>
        <v>0</v>
      </c>
      <c r="G47" s="11"/>
      <c r="H47" s="11"/>
      <c r="I47" s="32"/>
      <c r="J47" s="32"/>
      <c r="K47" s="32"/>
      <c r="L47" s="29">
        <f t="shared" si="2"/>
        <v>0</v>
      </c>
      <c r="M47" s="29"/>
      <c r="N47" s="169"/>
      <c r="O47" s="91"/>
    </row>
    <row r="48" spans="1:19" x14ac:dyDescent="0.2">
      <c r="D48" s="3">
        <f t="shared" ref="D48:N48" si="3">SUM(D4:D47)</f>
        <v>0</v>
      </c>
      <c r="E48" s="21">
        <f t="shared" si="3"/>
        <v>0</v>
      </c>
      <c r="F48" s="3">
        <f t="shared" si="3"/>
        <v>0</v>
      </c>
      <c r="G48" s="3">
        <f t="shared" si="3"/>
        <v>0</v>
      </c>
      <c r="H48" s="3">
        <f t="shared" si="3"/>
        <v>0</v>
      </c>
      <c r="I48" s="3">
        <f t="shared" si="3"/>
        <v>0</v>
      </c>
      <c r="J48" s="3">
        <f t="shared" si="3"/>
        <v>0</v>
      </c>
      <c r="K48" s="3">
        <f t="shared" si="3"/>
        <v>0</v>
      </c>
      <c r="L48" s="3">
        <f t="shared" si="3"/>
        <v>0</v>
      </c>
      <c r="M48" s="3">
        <f t="shared" si="3"/>
        <v>0</v>
      </c>
      <c r="N48" s="3">
        <f t="shared" si="3"/>
        <v>0</v>
      </c>
      <c r="O48" s="174"/>
    </row>
  </sheetData>
  <mergeCells count="1">
    <mergeCell ref="R27:S27"/>
  </mergeCells>
  <conditionalFormatting sqref="C4:C30">
    <cfRule type="expression" dxfId="17" priority="2">
      <formula>$M4&lt;0</formula>
    </cfRule>
  </conditionalFormatting>
  <conditionalFormatting sqref="C32:C47">
    <cfRule type="expression" dxfId="16" priority="1">
      <formula>$M32&lt;0</formula>
    </cfRule>
  </conditionalFormatting>
  <conditionalFormatting sqref="M4:M47">
    <cfRule type="cellIs" dxfId="15" priority="27" operator="lessThan">
      <formula>0</formula>
    </cfRule>
  </conditionalFormatting>
  <pageMargins left="0.7" right="0.7" top="0.75" bottom="0.75" header="0.3" footer="0.3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U56"/>
  <sheetViews>
    <sheetView showGridLines="0" workbookViewId="0">
      <selection activeCell="G22" sqref="G22"/>
    </sheetView>
  </sheetViews>
  <sheetFormatPr baseColWidth="10" defaultColWidth="8.83203125" defaultRowHeight="15" x14ac:dyDescent="0.2"/>
  <cols>
    <col min="1" max="4" width="12.6640625" customWidth="1"/>
    <col min="5" max="5" width="6.5" customWidth="1"/>
    <col min="6" max="6" width="6.1640625" customWidth="1"/>
    <col min="7" max="10" width="12.6640625" customWidth="1"/>
    <col min="11" max="11" width="6.5" customWidth="1"/>
    <col min="12" max="12" width="6.1640625" customWidth="1"/>
    <col min="13" max="16" width="12.6640625" customWidth="1"/>
    <col min="17" max="17" width="7.6640625" bestFit="1" customWidth="1"/>
    <col min="19" max="19" width="10.5" bestFit="1" customWidth="1"/>
    <col min="20" max="20" width="11.5" bestFit="1" customWidth="1"/>
    <col min="21" max="21" width="10.5" bestFit="1" customWidth="1"/>
  </cols>
  <sheetData>
    <row r="2" spans="1:21" x14ac:dyDescent="0.2">
      <c r="A2" s="37" t="s">
        <v>203</v>
      </c>
      <c r="B2" s="233" t="str">
        <f>'Mon AM'!B1</f>
        <v>4/6</v>
      </c>
      <c r="C2" s="215"/>
      <c r="D2" s="216"/>
      <c r="E2" s="38"/>
      <c r="F2" s="1"/>
      <c r="G2" s="37" t="s">
        <v>203</v>
      </c>
      <c r="H2" s="214">
        <f>B2+1</f>
        <v>46119</v>
      </c>
      <c r="I2" s="215"/>
      <c r="J2" s="216"/>
      <c r="K2" s="38"/>
      <c r="L2" s="1"/>
      <c r="M2" s="37" t="s">
        <v>203</v>
      </c>
      <c r="N2" s="214">
        <f>B2+2</f>
        <v>46120</v>
      </c>
      <c r="O2" s="215"/>
      <c r="P2" s="216"/>
      <c r="Q2" s="209"/>
    </row>
    <row r="3" spans="1:21" x14ac:dyDescent="0.2">
      <c r="A3" s="92">
        <v>457</v>
      </c>
      <c r="B3" s="80" t="s">
        <v>2</v>
      </c>
      <c r="C3" s="81" t="s">
        <v>112</v>
      </c>
      <c r="D3" s="82" t="s">
        <v>57</v>
      </c>
      <c r="E3" s="40"/>
      <c r="F3" s="1"/>
      <c r="G3" s="92">
        <v>493</v>
      </c>
      <c r="H3" s="80" t="s">
        <v>2</v>
      </c>
      <c r="I3" s="81" t="s">
        <v>112</v>
      </c>
      <c r="J3" s="82" t="s">
        <v>57</v>
      </c>
      <c r="K3" s="40"/>
      <c r="L3" s="1"/>
      <c r="M3" s="92">
        <v>456</v>
      </c>
      <c r="N3" s="80" t="s">
        <v>2</v>
      </c>
      <c r="O3" s="81" t="s">
        <v>112</v>
      </c>
      <c r="P3" s="82" t="s">
        <v>57</v>
      </c>
      <c r="Q3" s="209"/>
      <c r="R3" s="105"/>
    </row>
    <row r="4" spans="1:21" x14ac:dyDescent="0.2">
      <c r="A4" s="42" t="s">
        <v>204</v>
      </c>
      <c r="B4" s="77">
        <f>'Mon AM'!S4</f>
        <v>7479</v>
      </c>
      <c r="C4" s="77">
        <f>'Mon PM'!S4</f>
        <v>2789</v>
      </c>
      <c r="D4" s="78">
        <f t="shared" ref="D4:D9" si="0">B4+C4</f>
        <v>10268</v>
      </c>
      <c r="E4" s="41"/>
      <c r="F4" s="1"/>
      <c r="G4" s="42" t="s">
        <v>204</v>
      </c>
      <c r="H4" s="77">
        <f>'Tues AM'!S4</f>
        <v>7097.9400000000005</v>
      </c>
      <c r="I4" s="77">
        <f>'Tues PM'!S4</f>
        <v>2872</v>
      </c>
      <c r="J4" s="78">
        <f t="shared" ref="J4:J9" si="1">H4+I4</f>
        <v>9969.94</v>
      </c>
      <c r="K4" s="41"/>
      <c r="L4" s="1"/>
      <c r="M4" s="42" t="s">
        <v>204</v>
      </c>
      <c r="N4" s="77">
        <f>'Wed AM'!S4</f>
        <v>6991</v>
      </c>
      <c r="O4" s="77">
        <f>'Wed PM'!S4</f>
        <v>2731</v>
      </c>
      <c r="P4" s="78">
        <f t="shared" ref="P4:P9" si="2">N4+O4</f>
        <v>9722</v>
      </c>
      <c r="Q4" s="209"/>
    </row>
    <row r="5" spans="1:21" x14ac:dyDescent="0.2">
      <c r="A5" s="43" t="s">
        <v>22</v>
      </c>
      <c r="B5" s="44">
        <f>'Mon AM'!S5</f>
        <v>3382.75</v>
      </c>
      <c r="C5" s="44">
        <f>'Mon PM'!S5</f>
        <v>1304</v>
      </c>
      <c r="D5" s="99">
        <f t="shared" si="0"/>
        <v>4686.75</v>
      </c>
      <c r="E5" s="93">
        <f>D5/D4</f>
        <v>0.4564423451499805</v>
      </c>
      <c r="F5" s="1"/>
      <c r="G5" s="43" t="s">
        <v>22</v>
      </c>
      <c r="H5" s="44">
        <f>'Tues AM'!S5</f>
        <v>3210.7200000000003</v>
      </c>
      <c r="I5" s="44">
        <f>'Tues PM'!S5</f>
        <v>1329.5</v>
      </c>
      <c r="J5" s="99">
        <f t="shared" si="1"/>
        <v>4540.22</v>
      </c>
      <c r="K5" s="93">
        <f>J5/J4</f>
        <v>0.45539090506061219</v>
      </c>
      <c r="L5" s="1"/>
      <c r="M5" s="43" t="s">
        <v>22</v>
      </c>
      <c r="N5" s="44">
        <f>'Wed AM'!S5</f>
        <v>3143</v>
      </c>
      <c r="O5" s="44">
        <f>'Wed PM'!S5</f>
        <v>1258.5</v>
      </c>
      <c r="P5" s="99">
        <f t="shared" si="2"/>
        <v>4401.5</v>
      </c>
      <c r="Q5" s="93">
        <f>P5/P4</f>
        <v>0.45273606253857229</v>
      </c>
      <c r="S5" s="104"/>
    </row>
    <row r="6" spans="1:21" x14ac:dyDescent="0.2">
      <c r="A6" s="43" t="s">
        <v>7</v>
      </c>
      <c r="B6" s="44">
        <f>'Mon AM'!S6</f>
        <v>240</v>
      </c>
      <c r="C6" s="44">
        <f>'Mon PM'!S6</f>
        <v>96</v>
      </c>
      <c r="D6" s="99">
        <f t="shared" si="0"/>
        <v>336</v>
      </c>
      <c r="E6" s="41"/>
      <c r="F6" s="1"/>
      <c r="G6" s="43" t="s">
        <v>7</v>
      </c>
      <c r="H6" s="44">
        <f>'Tues AM'!S6</f>
        <v>254</v>
      </c>
      <c r="I6" s="44">
        <f>'Tues PM'!S6</f>
        <v>116</v>
      </c>
      <c r="J6" s="99">
        <f t="shared" si="1"/>
        <v>370</v>
      </c>
      <c r="K6" s="41"/>
      <c r="L6" s="1"/>
      <c r="M6" s="43" t="s">
        <v>7</v>
      </c>
      <c r="N6" s="44">
        <f>'Wed AM'!S6</f>
        <v>256</v>
      </c>
      <c r="O6" s="44">
        <f>'Wed PM'!S6</f>
        <v>104</v>
      </c>
      <c r="P6" s="99">
        <f t="shared" si="2"/>
        <v>360</v>
      </c>
      <c r="Q6" s="209"/>
      <c r="S6" s="104"/>
      <c r="T6" s="106"/>
    </row>
    <row r="7" spans="1:21" x14ac:dyDescent="0.2">
      <c r="A7" s="43" t="s">
        <v>8</v>
      </c>
      <c r="B7" s="44">
        <f>'Mon AM'!S7</f>
        <v>46.75</v>
      </c>
      <c r="C7" s="44">
        <f>'Mon PM'!S7</f>
        <v>13.75</v>
      </c>
      <c r="D7" s="99">
        <f t="shared" si="0"/>
        <v>60.5</v>
      </c>
      <c r="E7" s="41"/>
      <c r="F7" s="1"/>
      <c r="G7" s="43" t="s">
        <v>8</v>
      </c>
      <c r="H7" s="44">
        <f>'Tues AM'!S7</f>
        <v>71.5</v>
      </c>
      <c r="I7" s="44">
        <f>'Tues PM'!S7</f>
        <v>13.75</v>
      </c>
      <c r="J7" s="99">
        <f t="shared" si="1"/>
        <v>85.25</v>
      </c>
      <c r="K7" s="41"/>
      <c r="L7" s="1"/>
      <c r="M7" s="43" t="s">
        <v>8</v>
      </c>
      <c r="N7" s="44">
        <f>'Wed AM'!S7</f>
        <v>71.5</v>
      </c>
      <c r="O7" s="44">
        <f>'Wed PM'!S7</f>
        <v>16.5</v>
      </c>
      <c r="P7" s="99">
        <f t="shared" si="2"/>
        <v>88</v>
      </c>
      <c r="Q7" s="209"/>
      <c r="S7" s="104"/>
    </row>
    <row r="8" spans="1:21" x14ac:dyDescent="0.2">
      <c r="A8" s="43" t="s">
        <v>9</v>
      </c>
      <c r="B8" s="44">
        <f>'Mon AM'!S8</f>
        <v>168.75</v>
      </c>
      <c r="C8" s="44">
        <f>'Mon PM'!S8</f>
        <v>72.25</v>
      </c>
      <c r="D8" s="99">
        <f t="shared" si="0"/>
        <v>241</v>
      </c>
      <c r="E8" s="41"/>
      <c r="F8" s="1"/>
      <c r="G8" s="43" t="s">
        <v>9</v>
      </c>
      <c r="H8" s="44">
        <f>'Tues AM'!S8</f>
        <v>124.25</v>
      </c>
      <c r="I8" s="44">
        <f>'Tues PM'!S8</f>
        <v>65.25</v>
      </c>
      <c r="J8" s="99">
        <f t="shared" si="1"/>
        <v>189.5</v>
      </c>
      <c r="K8" s="41"/>
      <c r="L8" s="1"/>
      <c r="M8" s="43" t="s">
        <v>9</v>
      </c>
      <c r="N8" s="44">
        <f>'Wed AM'!S8</f>
        <v>116.5</v>
      </c>
      <c r="O8" s="44">
        <f>'Wed PM'!S8</f>
        <v>68.75</v>
      </c>
      <c r="P8" s="99">
        <f t="shared" si="2"/>
        <v>185.25</v>
      </c>
      <c r="Q8" s="209"/>
      <c r="S8" s="106"/>
      <c r="U8" s="106"/>
    </row>
    <row r="9" spans="1:21" x14ac:dyDescent="0.2">
      <c r="A9" s="45" t="s">
        <v>205</v>
      </c>
      <c r="B9" s="46">
        <f>B5+B6</f>
        <v>3622.75</v>
      </c>
      <c r="C9" s="46">
        <f>C5+C6</f>
        <v>1400</v>
      </c>
      <c r="D9" s="100">
        <f t="shared" si="0"/>
        <v>5022.75</v>
      </c>
      <c r="E9" s="48"/>
      <c r="F9" s="1"/>
      <c r="G9" s="45" t="s">
        <v>205</v>
      </c>
      <c r="H9" s="46">
        <f>H5+H6</f>
        <v>3464.7200000000003</v>
      </c>
      <c r="I9" s="46">
        <f>I5+I6</f>
        <v>1445.5</v>
      </c>
      <c r="J9" s="100">
        <f t="shared" si="1"/>
        <v>4910.22</v>
      </c>
      <c r="K9" s="48"/>
      <c r="L9" s="1"/>
      <c r="M9" s="45" t="s">
        <v>205</v>
      </c>
      <c r="N9" s="46">
        <f>N5+N6</f>
        <v>3399</v>
      </c>
      <c r="O9" s="46">
        <f>O5+O6</f>
        <v>1362.5</v>
      </c>
      <c r="P9" s="100">
        <f t="shared" si="2"/>
        <v>4761.5</v>
      </c>
      <c r="Q9" s="209"/>
      <c r="S9" s="106"/>
    </row>
    <row r="10" spans="1:21" x14ac:dyDescent="0.2">
      <c r="A10" s="49"/>
      <c r="B10" s="36"/>
      <c r="C10" s="36"/>
      <c r="D10" s="36"/>
      <c r="E10" s="41"/>
      <c r="F10" s="1"/>
      <c r="G10" s="49"/>
      <c r="H10" s="36"/>
      <c r="I10" s="36"/>
      <c r="J10" s="36"/>
      <c r="K10" s="41"/>
      <c r="L10" s="1"/>
      <c r="N10" s="36"/>
      <c r="O10" s="36"/>
      <c r="P10" s="36"/>
      <c r="Q10" s="209"/>
      <c r="S10" s="106"/>
    </row>
    <row r="11" spans="1:21" x14ac:dyDescent="0.2">
      <c r="A11" s="42" t="s">
        <v>206</v>
      </c>
      <c r="B11" s="86">
        <f>'Mon AM'!S9</f>
        <v>3395.5800000000004</v>
      </c>
      <c r="C11" s="86">
        <f>'Mon PM'!S9</f>
        <v>1037.3900000000001</v>
      </c>
      <c r="D11" s="84">
        <f>B11+C11</f>
        <v>4432.97</v>
      </c>
      <c r="E11" s="50"/>
      <c r="F11" s="1"/>
      <c r="G11" s="42" t="s">
        <v>206</v>
      </c>
      <c r="H11" s="86">
        <f>'Tues AM'!S9</f>
        <v>2384.2400000000002</v>
      </c>
      <c r="I11" s="86">
        <f>'Tues PM'!S9</f>
        <v>1137.23</v>
      </c>
      <c r="J11" s="84">
        <f>H11+I11</f>
        <v>3521.4700000000003</v>
      </c>
      <c r="K11" s="50"/>
      <c r="L11" s="1"/>
      <c r="M11" s="42" t="s">
        <v>206</v>
      </c>
      <c r="N11" s="86">
        <f>'Wed AM'!S9</f>
        <v>2165.56</v>
      </c>
      <c r="O11" s="86">
        <f>'Wed PM'!S9</f>
        <v>1054.92</v>
      </c>
      <c r="P11" s="84">
        <f>N11+O11</f>
        <v>3220.48</v>
      </c>
      <c r="Q11" s="209"/>
      <c r="S11" s="106"/>
    </row>
    <row r="12" spans="1:21" x14ac:dyDescent="0.2">
      <c r="A12" s="64" t="s">
        <v>207</v>
      </c>
      <c r="B12" s="83">
        <f>'Mon AM'!S10</f>
        <v>1138.18</v>
      </c>
      <c r="C12" s="51">
        <f>'Mon PM'!S10</f>
        <v>559.21</v>
      </c>
      <c r="D12" s="89">
        <f>B12+C12</f>
        <v>1697.39</v>
      </c>
      <c r="E12" s="50"/>
      <c r="F12" s="1"/>
      <c r="G12" s="64" t="s">
        <v>207</v>
      </c>
      <c r="H12" s="83">
        <f>'Tues AM'!S10</f>
        <v>1122.0900000000001</v>
      </c>
      <c r="I12" s="51">
        <f>'Tues PM'!S10</f>
        <v>475.78</v>
      </c>
      <c r="J12" s="89">
        <f>H12+I12</f>
        <v>1597.8700000000001</v>
      </c>
      <c r="K12" s="50"/>
      <c r="L12" s="1"/>
      <c r="M12" s="64" t="s">
        <v>207</v>
      </c>
      <c r="N12" s="51">
        <f>'Wed AM'!S10</f>
        <v>1470.84</v>
      </c>
      <c r="O12" s="51">
        <f>'Wed PM'!S10</f>
        <v>562.79000000000008</v>
      </c>
      <c r="P12" s="89">
        <f>N12+O12</f>
        <v>2033.63</v>
      </c>
      <c r="Q12" s="209"/>
      <c r="S12" s="106"/>
    </row>
    <row r="13" spans="1:21" x14ac:dyDescent="0.2">
      <c r="A13" s="52" t="s">
        <v>12</v>
      </c>
      <c r="B13" s="87">
        <f>'Mon AM'!S11</f>
        <v>0</v>
      </c>
      <c r="C13" s="87">
        <f>'Mon PM'!S11</f>
        <v>0</v>
      </c>
      <c r="D13" s="85">
        <f>B13+C13</f>
        <v>0</v>
      </c>
      <c r="E13" s="50"/>
      <c r="F13" s="1"/>
      <c r="G13" s="52" t="s">
        <v>12</v>
      </c>
      <c r="H13" s="87">
        <f>'Tues AM'!S11</f>
        <v>17</v>
      </c>
      <c r="I13" s="87">
        <f>'Tues PM'!S11</f>
        <v>0</v>
      </c>
      <c r="J13" s="85">
        <f>H13+I13</f>
        <v>17</v>
      </c>
      <c r="K13" s="50"/>
      <c r="L13" s="1"/>
      <c r="M13" s="52" t="s">
        <v>12</v>
      </c>
      <c r="N13" s="87">
        <f>'Wed AM'!S11</f>
        <v>0</v>
      </c>
      <c r="O13" s="87">
        <f>'Wed PM'!S11</f>
        <v>14</v>
      </c>
      <c r="P13" s="85">
        <f>N13+O13</f>
        <v>14</v>
      </c>
      <c r="Q13" s="209"/>
      <c r="S13" s="106"/>
    </row>
    <row r="14" spans="1:21" x14ac:dyDescent="0.2">
      <c r="A14" s="53"/>
      <c r="B14" s="36"/>
      <c r="C14" s="36"/>
      <c r="D14" s="1"/>
      <c r="E14" s="209"/>
      <c r="F14" s="1"/>
      <c r="G14" s="53"/>
      <c r="H14" s="36"/>
      <c r="I14" s="36"/>
      <c r="J14" s="1"/>
      <c r="K14" s="209"/>
      <c r="L14" s="1"/>
      <c r="M14" s="53"/>
      <c r="N14" s="36"/>
      <c r="O14" s="36"/>
      <c r="P14" s="1"/>
      <c r="Q14" s="209"/>
      <c r="S14" s="106"/>
    </row>
    <row r="15" spans="1:21" x14ac:dyDescent="0.2">
      <c r="A15" s="42" t="s">
        <v>208</v>
      </c>
      <c r="B15" s="54">
        <f>B9-B11-B12-B13</f>
        <v>-911.01000000000045</v>
      </c>
      <c r="C15" s="54">
        <f>C9-C11-C12-C13</f>
        <v>-196.60000000000014</v>
      </c>
      <c r="D15" s="55">
        <f>B15+C15</f>
        <v>-1107.6100000000006</v>
      </c>
      <c r="E15" s="48"/>
      <c r="F15" s="1"/>
      <c r="G15" s="42" t="s">
        <v>208</v>
      </c>
      <c r="H15" s="54">
        <f>H9-H11-H12-H13</f>
        <v>-58.610000000000127</v>
      </c>
      <c r="I15" s="54">
        <f>I9-I11-I12-I13</f>
        <v>-167.51</v>
      </c>
      <c r="J15" s="55">
        <f>H15+I15</f>
        <v>-226.12000000000012</v>
      </c>
      <c r="K15" s="48"/>
      <c r="L15" s="1"/>
      <c r="M15" s="42" t="s">
        <v>208</v>
      </c>
      <c r="N15" s="54">
        <f>N9-N11-N12-N13</f>
        <v>-237.39999999999986</v>
      </c>
      <c r="O15" s="54">
        <f>O9-O11-O12-O13</f>
        <v>-269.21000000000015</v>
      </c>
      <c r="P15" s="55">
        <f>N15+O15</f>
        <v>-506.61</v>
      </c>
      <c r="Q15" s="209"/>
      <c r="S15" s="106"/>
      <c r="T15" s="106"/>
    </row>
    <row r="16" spans="1:21" x14ac:dyDescent="0.2">
      <c r="A16" s="52" t="s">
        <v>209</v>
      </c>
      <c r="B16" s="56">
        <f>B7+B15+B8</f>
        <v>-695.51000000000045</v>
      </c>
      <c r="C16" s="56">
        <f>C7+C15+C8</f>
        <v>-110.60000000000014</v>
      </c>
      <c r="D16" s="47">
        <f>B16+C16</f>
        <v>-806.11000000000058</v>
      </c>
      <c r="E16" s="48"/>
      <c r="F16" s="1"/>
      <c r="G16" s="52" t="s">
        <v>209</v>
      </c>
      <c r="H16" s="56">
        <f>H7+H15+H8</f>
        <v>137.13999999999987</v>
      </c>
      <c r="I16" s="56">
        <f>I7+I15+I8</f>
        <v>-88.509999999999991</v>
      </c>
      <c r="J16" s="47">
        <f>H16+I16</f>
        <v>48.629999999999882</v>
      </c>
      <c r="K16" s="48"/>
      <c r="L16" s="1"/>
      <c r="M16" s="52" t="s">
        <v>209</v>
      </c>
      <c r="N16" s="56">
        <f>N7+N15+N8</f>
        <v>-49.399999999999864</v>
      </c>
      <c r="O16" s="56">
        <f>O7+O15+O8</f>
        <v>-183.96000000000015</v>
      </c>
      <c r="P16" s="47">
        <f>N16+O16</f>
        <v>-233.36</v>
      </c>
      <c r="Q16" s="209"/>
      <c r="S16" s="106"/>
    </row>
    <row r="17" spans="1:21" x14ac:dyDescent="0.2">
      <c r="A17" s="57"/>
      <c r="B17" s="221"/>
      <c r="C17" s="213"/>
      <c r="D17" s="213"/>
      <c r="E17" s="220"/>
      <c r="F17" s="1"/>
      <c r="G17" s="57"/>
      <c r="H17" s="221"/>
      <c r="I17" s="213"/>
      <c r="J17" s="213"/>
      <c r="K17" s="220"/>
      <c r="L17" s="1"/>
      <c r="M17" s="57"/>
      <c r="N17" s="221"/>
      <c r="O17" s="213"/>
      <c r="P17" s="213"/>
      <c r="Q17" s="220"/>
      <c r="S17" s="106"/>
      <c r="U17" s="106"/>
    </row>
    <row r="18" spans="1:21" x14ac:dyDescent="0.2">
      <c r="A18" s="58"/>
      <c r="B18" s="222"/>
      <c r="C18" s="223"/>
      <c r="D18" s="223"/>
      <c r="E18" s="224"/>
      <c r="F18" s="210"/>
      <c r="G18" s="58"/>
      <c r="H18" s="222"/>
      <c r="I18" s="223"/>
      <c r="J18" s="223"/>
      <c r="K18" s="224"/>
      <c r="L18" s="210"/>
      <c r="M18" s="58"/>
      <c r="N18" s="191"/>
      <c r="O18" s="191"/>
      <c r="P18" s="191"/>
      <c r="Q18" s="192"/>
      <c r="T18" s="106"/>
    </row>
    <row r="19" spans="1:21" x14ac:dyDescent="0.2">
      <c r="A19" s="1"/>
      <c r="B19" s="1"/>
      <c r="C19" s="1"/>
      <c r="D19" s="1"/>
      <c r="E19" s="209"/>
      <c r="F19" s="1"/>
      <c r="G19" s="1"/>
      <c r="H19" s="1"/>
      <c r="I19" s="1"/>
      <c r="J19" s="1"/>
      <c r="K19" s="209"/>
      <c r="L19" s="1"/>
      <c r="M19" s="1"/>
      <c r="N19" s="221"/>
      <c r="O19" s="213"/>
      <c r="P19" s="213"/>
      <c r="Q19" s="220"/>
    </row>
    <row r="20" spans="1:21" x14ac:dyDescent="0.2">
      <c r="A20" s="37" t="s">
        <v>203</v>
      </c>
      <c r="B20" s="214">
        <f>B2+3</f>
        <v>46121</v>
      </c>
      <c r="C20" s="215"/>
      <c r="D20" s="216"/>
      <c r="E20" s="38"/>
      <c r="F20" s="1"/>
      <c r="G20" s="109" t="s">
        <v>203</v>
      </c>
      <c r="H20" s="214">
        <f>B2+4</f>
        <v>46122</v>
      </c>
      <c r="I20" s="215"/>
      <c r="J20" s="216"/>
      <c r="K20" s="38"/>
      <c r="L20" s="1"/>
      <c r="M20" s="109" t="s">
        <v>203</v>
      </c>
      <c r="N20" s="230">
        <f>B2+5</f>
        <v>46123</v>
      </c>
      <c r="O20" s="231"/>
      <c r="P20" s="232"/>
      <c r="Q20" s="209"/>
      <c r="T20" s="106"/>
    </row>
    <row r="21" spans="1:21" x14ac:dyDescent="0.2">
      <c r="A21" s="79">
        <v>522</v>
      </c>
      <c r="B21" s="80" t="s">
        <v>2</v>
      </c>
      <c r="C21" s="81" t="s">
        <v>112</v>
      </c>
      <c r="D21" s="82" t="s">
        <v>57</v>
      </c>
      <c r="E21" s="40"/>
      <c r="F21" s="1"/>
      <c r="G21" s="90">
        <v>480</v>
      </c>
      <c r="H21" s="80" t="s">
        <v>2</v>
      </c>
      <c r="I21" s="81" t="s">
        <v>112</v>
      </c>
      <c r="J21" s="82" t="s">
        <v>57</v>
      </c>
      <c r="K21" s="40"/>
      <c r="L21" s="1"/>
      <c r="M21" s="79"/>
      <c r="N21" s="193" t="s">
        <v>2</v>
      </c>
      <c r="O21" s="194" t="s">
        <v>112</v>
      </c>
      <c r="P21" s="195" t="s">
        <v>57</v>
      </c>
      <c r="Q21" s="209"/>
    </row>
    <row r="22" spans="1:21" x14ac:dyDescent="0.2">
      <c r="A22" s="42" t="s">
        <v>204</v>
      </c>
      <c r="B22" s="77">
        <f>'Thurs AM'!S4</f>
        <v>8099.25</v>
      </c>
      <c r="C22" s="77">
        <f>'Thurs PM'!S4</f>
        <v>2955</v>
      </c>
      <c r="D22" s="78">
        <f t="shared" ref="D22:D27" si="3">B22+C22</f>
        <v>11054.25</v>
      </c>
      <c r="E22" s="41"/>
      <c r="F22" s="1"/>
      <c r="G22" s="42" t="s">
        <v>204</v>
      </c>
      <c r="H22" s="77">
        <f>'Fri AM'!S4</f>
        <v>6131.5</v>
      </c>
      <c r="I22" s="77">
        <f>'Fri PM'!S4</f>
        <v>3148</v>
      </c>
      <c r="J22" s="78">
        <f t="shared" ref="J22:J27" si="4">H22+I22</f>
        <v>9279.5</v>
      </c>
      <c r="K22" s="41"/>
      <c r="L22" s="1"/>
      <c r="M22" s="42" t="s">
        <v>204</v>
      </c>
      <c r="N22" s="77">
        <f>'Sat AM'!S4</f>
        <v>0</v>
      </c>
      <c r="O22" s="77">
        <f>'Sat PM'!S4</f>
        <v>0</v>
      </c>
      <c r="P22" s="78">
        <f t="shared" ref="P22:P27" si="5">N22+O22</f>
        <v>0</v>
      </c>
      <c r="Q22" s="209"/>
    </row>
    <row r="23" spans="1:21" x14ac:dyDescent="0.2">
      <c r="A23" s="43" t="s">
        <v>22</v>
      </c>
      <c r="B23" s="44">
        <f>'Thurs AM'!S5</f>
        <v>3662.125</v>
      </c>
      <c r="C23" s="44">
        <f>'Thurs PM'!S5</f>
        <v>1343.75</v>
      </c>
      <c r="D23" s="99">
        <f t="shared" si="3"/>
        <v>5005.875</v>
      </c>
      <c r="E23" s="93">
        <f>D23/D22</f>
        <v>0.45284619037926588</v>
      </c>
      <c r="F23" s="1"/>
      <c r="G23" s="43" t="s">
        <v>22</v>
      </c>
      <c r="H23" s="44">
        <f>'Fri AM'!S5</f>
        <v>2825.5</v>
      </c>
      <c r="I23" s="44">
        <f>'Fri PM'!S5</f>
        <v>1429.75</v>
      </c>
      <c r="J23" s="99">
        <f t="shared" si="4"/>
        <v>4255.25</v>
      </c>
      <c r="K23" s="93">
        <f>J23/J22</f>
        <v>0.45856457783285737</v>
      </c>
      <c r="L23" s="1"/>
      <c r="M23" s="43" t="s">
        <v>22</v>
      </c>
      <c r="N23" s="44">
        <f>'Sat AM'!S5</f>
        <v>0</v>
      </c>
      <c r="O23" s="44">
        <f>'Sat PM'!S5</f>
        <v>0</v>
      </c>
      <c r="P23" s="99">
        <f t="shared" si="5"/>
        <v>0</v>
      </c>
      <c r="Q23" s="93" t="e">
        <f>P23/P22</f>
        <v>#DIV/0!</v>
      </c>
      <c r="R23" t="s">
        <v>210</v>
      </c>
    </row>
    <row r="24" spans="1:21" x14ac:dyDescent="0.2">
      <c r="A24" s="43" t="s">
        <v>7</v>
      </c>
      <c r="B24" s="44">
        <f>'Thurs AM'!S6</f>
        <v>254</v>
      </c>
      <c r="C24" s="44">
        <f>'Thurs PM'!S6</f>
        <v>110</v>
      </c>
      <c r="D24" s="99">
        <f t="shared" si="3"/>
        <v>364</v>
      </c>
      <c r="E24" s="41"/>
      <c r="F24" s="1"/>
      <c r="G24" s="43" t="s">
        <v>7</v>
      </c>
      <c r="H24" s="44">
        <f>'Fri AM'!S6</f>
        <v>254</v>
      </c>
      <c r="I24" s="44">
        <f>'Fri PM'!S6</f>
        <v>120</v>
      </c>
      <c r="J24" s="99">
        <f t="shared" si="4"/>
        <v>374</v>
      </c>
      <c r="K24" s="41"/>
      <c r="L24" s="1"/>
      <c r="M24" s="43" t="s">
        <v>7</v>
      </c>
      <c r="N24" s="44">
        <f>'Sat AM'!S6</f>
        <v>0</v>
      </c>
      <c r="O24" s="44">
        <f>'Sat PM'!S6</f>
        <v>0</v>
      </c>
      <c r="P24" s="99">
        <f t="shared" si="5"/>
        <v>0</v>
      </c>
      <c r="Q24" s="209"/>
      <c r="U24" s="106"/>
    </row>
    <row r="25" spans="1:21" x14ac:dyDescent="0.2">
      <c r="A25" s="43" t="s">
        <v>8</v>
      </c>
      <c r="B25" s="44">
        <f>'Thurs AM'!S7</f>
        <v>57.75</v>
      </c>
      <c r="C25" s="44">
        <f>'Thurs PM'!S7</f>
        <v>19.25</v>
      </c>
      <c r="D25" s="99">
        <f t="shared" si="3"/>
        <v>77</v>
      </c>
      <c r="E25" s="41"/>
      <c r="F25" s="1"/>
      <c r="G25" s="43" t="s">
        <v>211</v>
      </c>
      <c r="H25" s="44">
        <f>'Fri AM'!S7</f>
        <v>46.75</v>
      </c>
      <c r="I25" s="44">
        <f>'Fri PM'!S7</f>
        <v>24.75</v>
      </c>
      <c r="J25" s="99">
        <f t="shared" si="4"/>
        <v>71.5</v>
      </c>
      <c r="K25" s="41"/>
      <c r="L25" s="1"/>
      <c r="M25" s="43" t="s">
        <v>8</v>
      </c>
      <c r="N25" s="44">
        <f>'Sat AM'!S7</f>
        <v>0</v>
      </c>
      <c r="O25" s="44">
        <f>'Sat PM'!S7</f>
        <v>0</v>
      </c>
      <c r="P25" s="99">
        <f t="shared" si="5"/>
        <v>0</v>
      </c>
      <c r="Q25" s="209"/>
    </row>
    <row r="26" spans="1:21" x14ac:dyDescent="0.2">
      <c r="A26" s="43" t="s">
        <v>9</v>
      </c>
      <c r="B26" s="44">
        <f>'Thurs AM'!S8</f>
        <v>148.5</v>
      </c>
      <c r="C26" s="44">
        <f>'Thurs PM'!S8</f>
        <v>41.5</v>
      </c>
      <c r="D26" s="99">
        <f t="shared" si="3"/>
        <v>190</v>
      </c>
      <c r="E26" s="41"/>
      <c r="F26" s="1"/>
      <c r="G26" s="43" t="s">
        <v>9</v>
      </c>
      <c r="H26" s="44">
        <f>'Fri AM'!S8</f>
        <v>65.75</v>
      </c>
      <c r="I26" s="44">
        <f>'Fri PM'!S8</f>
        <v>59.25</v>
      </c>
      <c r="J26" s="99">
        <f t="shared" si="4"/>
        <v>125</v>
      </c>
      <c r="K26" s="41"/>
      <c r="L26" s="1"/>
      <c r="M26" s="43" t="s">
        <v>9</v>
      </c>
      <c r="N26" s="44">
        <f>'Sat AM'!S8</f>
        <v>0</v>
      </c>
      <c r="O26" s="44">
        <f>'Sat PM'!S8</f>
        <v>0</v>
      </c>
      <c r="P26" s="99">
        <f t="shared" si="5"/>
        <v>0</v>
      </c>
      <c r="Q26" s="209"/>
    </row>
    <row r="27" spans="1:21" x14ac:dyDescent="0.2">
      <c r="A27" s="45" t="s">
        <v>205</v>
      </c>
      <c r="B27" s="46">
        <f>B23+B24</f>
        <v>3916.125</v>
      </c>
      <c r="C27" s="46">
        <f>C23+C24</f>
        <v>1453.75</v>
      </c>
      <c r="D27" s="100">
        <f t="shared" si="3"/>
        <v>5369.875</v>
      </c>
      <c r="E27" s="48"/>
      <c r="F27" s="1"/>
      <c r="G27" s="45" t="s">
        <v>205</v>
      </c>
      <c r="H27" s="46">
        <f>H23+H24</f>
        <v>3079.5</v>
      </c>
      <c r="I27" s="46">
        <f>I23+I24</f>
        <v>1549.75</v>
      </c>
      <c r="J27" s="100">
        <f t="shared" si="4"/>
        <v>4629.25</v>
      </c>
      <c r="K27" s="48"/>
      <c r="L27" s="1"/>
      <c r="M27" s="45" t="s">
        <v>205</v>
      </c>
      <c r="N27" s="46">
        <f>N23+N24</f>
        <v>0</v>
      </c>
      <c r="O27" s="46">
        <f>O23+O24</f>
        <v>0</v>
      </c>
      <c r="P27" s="100">
        <f t="shared" si="5"/>
        <v>0</v>
      </c>
      <c r="Q27" s="209"/>
    </row>
    <row r="28" spans="1:21" x14ac:dyDescent="0.2">
      <c r="A28" s="49"/>
      <c r="B28" s="36"/>
      <c r="C28" s="36"/>
      <c r="D28" s="36"/>
      <c r="E28" s="41"/>
      <c r="F28" s="1"/>
      <c r="G28" s="49"/>
      <c r="H28" s="36"/>
      <c r="I28" s="36"/>
      <c r="J28" s="36"/>
      <c r="K28" s="41"/>
      <c r="L28" s="1"/>
      <c r="M28" s="49"/>
      <c r="N28" s="36"/>
      <c r="O28" s="36"/>
      <c r="P28" s="36"/>
      <c r="Q28" s="209"/>
      <c r="S28" t="s">
        <v>210</v>
      </c>
      <c r="T28" t="s">
        <v>210</v>
      </c>
    </row>
    <row r="29" spans="1:21" x14ac:dyDescent="0.2">
      <c r="A29" s="42" t="s">
        <v>206</v>
      </c>
      <c r="B29" s="86">
        <f>'Thurs AM'!S9</f>
        <v>2719.2800000000007</v>
      </c>
      <c r="C29" s="86">
        <f>'Thurs PM'!S9</f>
        <v>1030.44</v>
      </c>
      <c r="D29" s="84">
        <f>B29+C29</f>
        <v>3749.7200000000007</v>
      </c>
      <c r="E29" s="50"/>
      <c r="F29" s="1"/>
      <c r="G29" s="42" t="s">
        <v>206</v>
      </c>
      <c r="H29" s="86">
        <f>'Fri AM'!S9</f>
        <v>2079.6900000000005</v>
      </c>
      <c r="I29" s="86">
        <f>'Fri PM'!S9</f>
        <v>1428.8200000000002</v>
      </c>
      <c r="J29" s="84">
        <f>H29+I29</f>
        <v>3508.5100000000007</v>
      </c>
      <c r="K29" s="50"/>
      <c r="L29" s="1"/>
      <c r="M29" s="42" t="s">
        <v>206</v>
      </c>
      <c r="N29" s="86">
        <f>'Sat AM'!S9</f>
        <v>0</v>
      </c>
      <c r="O29" s="86">
        <f>'Sat PM'!S9</f>
        <v>0</v>
      </c>
      <c r="P29" s="84">
        <f>N29+O29</f>
        <v>0</v>
      </c>
      <c r="Q29" s="209"/>
    </row>
    <row r="30" spans="1:21" x14ac:dyDescent="0.2">
      <c r="A30" s="64" t="s">
        <v>207</v>
      </c>
      <c r="B30" s="83">
        <f>'Thurs AM'!S10</f>
        <v>1962.12</v>
      </c>
      <c r="C30" s="51">
        <f>'Thurs PM'!S10</f>
        <v>366.07</v>
      </c>
      <c r="D30" s="89">
        <f>B30+C30</f>
        <v>2328.19</v>
      </c>
      <c r="E30" s="50"/>
      <c r="F30" s="1"/>
      <c r="G30" s="64" t="s">
        <v>207</v>
      </c>
      <c r="H30" s="83">
        <f>'Fri AM'!S10</f>
        <v>747.99</v>
      </c>
      <c r="I30" s="51">
        <f>'Fri PM'!S10</f>
        <v>506.81</v>
      </c>
      <c r="J30" s="89">
        <f>H30+I30</f>
        <v>1254.8</v>
      </c>
      <c r="K30" s="50"/>
      <c r="L30" s="1"/>
      <c r="M30" s="64" t="s">
        <v>207</v>
      </c>
      <c r="N30" s="51">
        <f>'Sat AM'!S10</f>
        <v>0</v>
      </c>
      <c r="O30" s="51">
        <f>'Sat PM'!S10</f>
        <v>0</v>
      </c>
      <c r="P30" s="89">
        <f>N30+O30</f>
        <v>0</v>
      </c>
      <c r="Q30" s="209"/>
      <c r="R30" t="s">
        <v>210</v>
      </c>
    </row>
    <row r="31" spans="1:21" x14ac:dyDescent="0.2">
      <c r="A31" s="52" t="s">
        <v>12</v>
      </c>
      <c r="B31" s="87">
        <f>'Thurs AM'!S11</f>
        <v>0</v>
      </c>
      <c r="C31" s="87">
        <f>'Thurs PM'!S11</f>
        <v>0</v>
      </c>
      <c r="D31" s="85">
        <f>B31+C31</f>
        <v>0</v>
      </c>
      <c r="E31" s="50"/>
      <c r="F31" s="1"/>
      <c r="G31" s="52" t="s">
        <v>12</v>
      </c>
      <c r="H31" s="87">
        <f>'Fri AM'!S11</f>
        <v>75</v>
      </c>
      <c r="I31" s="87">
        <f>'Fri PM'!S11</f>
        <v>0</v>
      </c>
      <c r="J31" s="85">
        <f>H31+I31</f>
        <v>75</v>
      </c>
      <c r="K31" s="50"/>
      <c r="L31" s="1"/>
      <c r="M31" s="52" t="s">
        <v>12</v>
      </c>
      <c r="N31" s="87">
        <f>'Sat AM'!S11</f>
        <v>0</v>
      </c>
      <c r="O31" s="87">
        <f>'Sat PM'!S11</f>
        <v>0</v>
      </c>
      <c r="P31" s="85">
        <f>N31+O31</f>
        <v>0</v>
      </c>
      <c r="Q31" s="209"/>
    </row>
    <row r="32" spans="1:21" x14ac:dyDescent="0.2">
      <c r="A32" s="53"/>
      <c r="B32" s="36"/>
      <c r="C32" s="36"/>
      <c r="D32" s="1"/>
      <c r="E32" s="209"/>
      <c r="F32" s="1"/>
      <c r="G32" s="53"/>
      <c r="H32" s="36"/>
      <c r="I32" s="36"/>
      <c r="J32" s="1"/>
      <c r="K32" s="209"/>
      <c r="L32" s="1"/>
      <c r="M32" s="53"/>
      <c r="N32" s="36"/>
      <c r="O32" s="36"/>
      <c r="P32" s="1"/>
      <c r="Q32" s="209"/>
    </row>
    <row r="33" spans="1:17" x14ac:dyDescent="0.2">
      <c r="A33" s="42" t="s">
        <v>208</v>
      </c>
      <c r="B33" s="54">
        <f>B27-B29-B30-B31</f>
        <v>-765.27500000000055</v>
      </c>
      <c r="C33" s="54">
        <f>C27-C29-C30-C31</f>
        <v>57.239999999999952</v>
      </c>
      <c r="D33" s="55">
        <f>B33+C33</f>
        <v>-708.03500000000054</v>
      </c>
      <c r="E33" s="59"/>
      <c r="F33" s="1"/>
      <c r="G33" s="42" t="s">
        <v>208</v>
      </c>
      <c r="H33" s="54">
        <f>H27-H29-H30-H31</f>
        <v>176.81999999999948</v>
      </c>
      <c r="I33" s="54">
        <f>I27-I29-I30-I31</f>
        <v>-385.88000000000017</v>
      </c>
      <c r="J33" s="55">
        <f>H33+I33</f>
        <v>-209.06000000000068</v>
      </c>
      <c r="K33" s="59"/>
      <c r="L33" s="1"/>
      <c r="M33" s="42" t="s">
        <v>208</v>
      </c>
      <c r="N33" s="54">
        <f>N27-N29-N30-N31</f>
        <v>0</v>
      </c>
      <c r="O33" s="54">
        <f>O27-O29-O30-O31</f>
        <v>0</v>
      </c>
      <c r="P33" s="55">
        <f>N33+O33</f>
        <v>0</v>
      </c>
      <c r="Q33" s="60"/>
    </row>
    <row r="34" spans="1:17" x14ac:dyDescent="0.2">
      <c r="A34" s="52" t="s">
        <v>209</v>
      </c>
      <c r="B34" s="56">
        <f>B25+B33+B26</f>
        <v>-559.02500000000055</v>
      </c>
      <c r="C34" s="56">
        <f>C25+C33+C26</f>
        <v>117.98999999999995</v>
      </c>
      <c r="D34" s="47">
        <f>B34+C34</f>
        <v>-441.03500000000059</v>
      </c>
      <c r="E34" s="61"/>
      <c r="F34" s="1"/>
      <c r="G34" s="52" t="s">
        <v>209</v>
      </c>
      <c r="H34" s="56">
        <f>H25+H33+H26</f>
        <v>289.31999999999948</v>
      </c>
      <c r="I34" s="56">
        <f>I25+I33+I26</f>
        <v>-301.88000000000017</v>
      </c>
      <c r="J34" s="47">
        <f>H34+I34</f>
        <v>-12.560000000000684</v>
      </c>
      <c r="K34" s="61"/>
      <c r="L34" s="1"/>
      <c r="M34" s="52" t="s">
        <v>209</v>
      </c>
      <c r="N34" s="56">
        <f>N25+N33+N26</f>
        <v>0</v>
      </c>
      <c r="O34" s="56">
        <f>O25+O33+O26</f>
        <v>0</v>
      </c>
      <c r="P34" s="47">
        <f>N34+O34</f>
        <v>0</v>
      </c>
      <c r="Q34" s="61"/>
    </row>
    <row r="35" spans="1:17" x14ac:dyDescent="0.2">
      <c r="A35" s="57"/>
      <c r="B35" s="221"/>
      <c r="C35" s="213"/>
      <c r="D35" s="213"/>
      <c r="E35" s="220"/>
      <c r="F35" s="57"/>
      <c r="G35" s="57"/>
      <c r="H35" s="227"/>
      <c r="I35" s="213"/>
      <c r="J35" s="213"/>
      <c r="K35" s="220"/>
      <c r="L35" s="1"/>
      <c r="M35" s="57"/>
      <c r="N35" s="221"/>
      <c r="O35" s="213"/>
      <c r="P35" s="213"/>
      <c r="Q35" s="220"/>
    </row>
    <row r="36" spans="1:17" x14ac:dyDescent="0.2">
      <c r="A36" s="57"/>
      <c r="B36" s="221"/>
      <c r="C36" s="213"/>
      <c r="D36" s="213"/>
      <c r="E36" s="220"/>
      <c r="F36" s="57"/>
      <c r="G36" s="57"/>
      <c r="H36" s="221"/>
      <c r="I36" s="213"/>
      <c r="J36" s="213"/>
      <c r="K36" s="220"/>
      <c r="L36" s="1"/>
      <c r="M36" s="57"/>
      <c r="N36" s="221"/>
      <c r="O36" s="213"/>
      <c r="P36" s="213"/>
      <c r="Q36" s="220"/>
    </row>
    <row r="37" spans="1:17" x14ac:dyDescent="0.2">
      <c r="A37" s="69"/>
      <c r="B37" s="70"/>
      <c r="C37" s="70"/>
      <c r="D37" s="70"/>
      <c r="E37" s="71"/>
      <c r="F37" s="70"/>
      <c r="G37" s="70"/>
      <c r="H37" s="70"/>
      <c r="I37" s="70"/>
      <c r="J37" s="70"/>
      <c r="K37" s="71"/>
      <c r="L37" s="70"/>
      <c r="M37" s="70"/>
      <c r="N37" s="70"/>
      <c r="O37" s="70"/>
      <c r="P37" s="70"/>
      <c r="Q37" s="71"/>
    </row>
    <row r="38" spans="1:17" x14ac:dyDescent="0.2">
      <c r="A38" s="37" t="s">
        <v>203</v>
      </c>
      <c r="B38" s="214">
        <f>B2+6</f>
        <v>46124</v>
      </c>
      <c r="C38" s="215"/>
      <c r="D38" s="216"/>
      <c r="E38" s="38"/>
      <c r="F38" s="1"/>
      <c r="G38" s="1"/>
      <c r="H38" s="217" t="s">
        <v>212</v>
      </c>
      <c r="I38" s="218"/>
      <c r="J38" s="37" t="s">
        <v>203</v>
      </c>
      <c r="K38" s="40"/>
      <c r="L38" s="229"/>
      <c r="M38" s="213"/>
      <c r="N38" s="212"/>
      <c r="O38" s="213"/>
      <c r="P38" s="1"/>
      <c r="Q38" s="209"/>
    </row>
    <row r="39" spans="1:17" x14ac:dyDescent="0.2">
      <c r="A39" s="79"/>
      <c r="B39" s="107" t="s">
        <v>2</v>
      </c>
      <c r="C39" s="81" t="s">
        <v>112</v>
      </c>
      <c r="D39" s="82" t="s">
        <v>57</v>
      </c>
      <c r="E39" s="40"/>
      <c r="F39" s="1"/>
      <c r="G39" s="1"/>
      <c r="H39" s="225"/>
      <c r="I39" s="226"/>
      <c r="J39" s="39">
        <f>A3+G3+M3+A21+G21+M21+A39</f>
        <v>2408</v>
      </c>
      <c r="K39" s="209"/>
      <c r="L39" s="1"/>
      <c r="N39" s="18"/>
      <c r="O39" s="22"/>
      <c r="Q39" s="60"/>
    </row>
    <row r="40" spans="1:17" x14ac:dyDescent="0.2">
      <c r="A40" s="42" t="s">
        <v>204</v>
      </c>
      <c r="B40" s="77">
        <f>'Sun AM'!S4</f>
        <v>0</v>
      </c>
      <c r="C40" s="77">
        <f>'Sun PM'!S4</f>
        <v>0</v>
      </c>
      <c r="D40" s="78">
        <f t="shared" ref="D40:D45" si="6">B40+C40</f>
        <v>0</v>
      </c>
      <c r="E40" s="41"/>
      <c r="F40" s="1"/>
      <c r="G40" s="1"/>
      <c r="H40" s="62" t="s">
        <v>204</v>
      </c>
      <c r="I40" s="63">
        <f t="shared" ref="I40:I45" si="7">D4+J4+P4+D22+J22+P22+D40</f>
        <v>50293.69</v>
      </c>
      <c r="J40" s="36"/>
      <c r="K40" s="41"/>
      <c r="L40" s="1"/>
      <c r="N40" s="18"/>
      <c r="O40" s="22"/>
      <c r="Q40" s="60"/>
    </row>
    <row r="41" spans="1:17" x14ac:dyDescent="0.2">
      <c r="A41" s="43" t="s">
        <v>22</v>
      </c>
      <c r="B41" s="44">
        <f>'Sun AM'!S5</f>
        <v>0</v>
      </c>
      <c r="C41" s="44">
        <f>'Sun PM'!S5</f>
        <v>0</v>
      </c>
      <c r="D41" s="99">
        <f t="shared" si="6"/>
        <v>0</v>
      </c>
      <c r="E41" s="93" t="e">
        <f>D41/D40</f>
        <v>#DIV/0!</v>
      </c>
      <c r="F41" s="1"/>
      <c r="G41" s="1"/>
      <c r="H41" s="64" t="s">
        <v>22</v>
      </c>
      <c r="I41" s="65">
        <f t="shared" si="7"/>
        <v>22889.595000000001</v>
      </c>
      <c r="J41" s="94">
        <f>I41/I40</f>
        <v>0.45511862422502702</v>
      </c>
      <c r="K41" s="41"/>
      <c r="L41" s="1"/>
      <c r="N41" s="18"/>
      <c r="O41" s="22"/>
      <c r="Q41" s="60"/>
    </row>
    <row r="42" spans="1:17" x14ac:dyDescent="0.2">
      <c r="A42" s="43" t="s">
        <v>7</v>
      </c>
      <c r="B42" s="44">
        <f>'Sun AM'!S6</f>
        <v>0</v>
      </c>
      <c r="C42" s="44">
        <f>'Sun PM'!S6</f>
        <v>0</v>
      </c>
      <c r="D42" s="99">
        <f t="shared" si="6"/>
        <v>0</v>
      </c>
      <c r="E42" s="41"/>
      <c r="F42" s="1"/>
      <c r="G42" s="1"/>
      <c r="H42" s="64" t="s">
        <v>7</v>
      </c>
      <c r="I42" s="65">
        <f t="shared" si="7"/>
        <v>1804</v>
      </c>
      <c r="J42" s="36"/>
      <c r="K42" s="41"/>
      <c r="L42" s="1"/>
      <c r="N42" s="18"/>
      <c r="Q42" s="60"/>
    </row>
    <row r="43" spans="1:17" x14ac:dyDescent="0.2">
      <c r="A43" s="43" t="s">
        <v>8</v>
      </c>
      <c r="B43" s="44">
        <f>'Sun AM'!S7</f>
        <v>0</v>
      </c>
      <c r="C43" s="44">
        <f>'Sun PM'!S7</f>
        <v>0</v>
      </c>
      <c r="D43" s="99">
        <f t="shared" si="6"/>
        <v>0</v>
      </c>
      <c r="E43" s="41"/>
      <c r="F43" s="1"/>
      <c r="G43" s="1"/>
      <c r="H43" s="88" t="s">
        <v>8</v>
      </c>
      <c r="I43" s="65">
        <f t="shared" si="7"/>
        <v>382.25</v>
      </c>
      <c r="J43" s="36"/>
      <c r="K43" s="41"/>
      <c r="L43" s="1"/>
      <c r="N43" s="18"/>
      <c r="O43" s="22"/>
      <c r="Q43" s="60"/>
    </row>
    <row r="44" spans="1:17" x14ac:dyDescent="0.2">
      <c r="A44" s="43" t="s">
        <v>9</v>
      </c>
      <c r="B44" s="44">
        <f>'Sun AM'!S8</f>
        <v>0</v>
      </c>
      <c r="C44" s="44">
        <f>'Sun PM'!S8</f>
        <v>0</v>
      </c>
      <c r="D44" s="99">
        <f t="shared" si="6"/>
        <v>0</v>
      </c>
      <c r="E44" s="41"/>
      <c r="F44" s="1"/>
      <c r="G44" s="1"/>
      <c r="H44" s="43" t="s">
        <v>9</v>
      </c>
      <c r="I44" s="65">
        <f t="shared" si="7"/>
        <v>930.75</v>
      </c>
      <c r="J44" s="36"/>
      <c r="K44" s="41"/>
      <c r="L44" s="1"/>
      <c r="N44" s="18"/>
      <c r="O44" s="22"/>
      <c r="Q44" s="60"/>
    </row>
    <row r="45" spans="1:17" x14ac:dyDescent="0.2">
      <c r="A45" s="45" t="s">
        <v>205</v>
      </c>
      <c r="B45" s="46">
        <f>B41+B42</f>
        <v>0</v>
      </c>
      <c r="C45" s="46">
        <f>C41+C42</f>
        <v>0</v>
      </c>
      <c r="D45" s="100">
        <f t="shared" si="6"/>
        <v>0</v>
      </c>
      <c r="E45" s="48"/>
      <c r="F45" s="1"/>
      <c r="G45" s="1"/>
      <c r="H45" s="66" t="s">
        <v>205</v>
      </c>
      <c r="I45" s="67">
        <f t="shared" si="7"/>
        <v>24693.595000000001</v>
      </c>
      <c r="J45" s="72"/>
      <c r="K45" s="48"/>
      <c r="L45" s="1"/>
      <c r="Q45" s="60"/>
    </row>
    <row r="46" spans="1:17" x14ac:dyDescent="0.2">
      <c r="A46" s="49"/>
      <c r="B46" s="36"/>
      <c r="C46" s="36"/>
      <c r="D46" s="36"/>
      <c r="E46" s="41"/>
      <c r="F46" s="1"/>
      <c r="G46" s="1"/>
      <c r="H46" s="49"/>
      <c r="I46" s="36"/>
      <c r="J46" s="36"/>
      <c r="K46" s="41"/>
      <c r="L46" s="1"/>
      <c r="Q46" s="60"/>
    </row>
    <row r="47" spans="1:17" x14ac:dyDescent="0.2">
      <c r="A47" s="42" t="s">
        <v>206</v>
      </c>
      <c r="B47" s="86">
        <f>'Sun AM'!S9</f>
        <v>0</v>
      </c>
      <c r="C47" s="86">
        <f>'Sun PM'!S9</f>
        <v>0</v>
      </c>
      <c r="D47" s="84">
        <f>B47+C47</f>
        <v>0</v>
      </c>
      <c r="E47" s="50"/>
      <c r="F47" s="1"/>
      <c r="G47" s="1"/>
      <c r="H47" s="62" t="s">
        <v>206</v>
      </c>
      <c r="I47" s="63">
        <f>D11+J11+P11+D29+J29+P29+D47</f>
        <v>18433.150000000001</v>
      </c>
      <c r="J47" s="73"/>
      <c r="K47" s="50"/>
      <c r="L47" s="1"/>
      <c r="Q47" s="60"/>
    </row>
    <row r="48" spans="1:17" x14ac:dyDescent="0.2">
      <c r="A48" s="64" t="s">
        <v>207</v>
      </c>
      <c r="B48" s="51">
        <f>'Sun AM'!S10</f>
        <v>0</v>
      </c>
      <c r="C48" s="51">
        <f>'Sun PM'!S10</f>
        <v>0</v>
      </c>
      <c r="D48" s="89">
        <f>B48+C48</f>
        <v>0</v>
      </c>
      <c r="E48" s="50"/>
      <c r="F48" s="1"/>
      <c r="G48" s="1"/>
      <c r="H48" s="64" t="s">
        <v>207</v>
      </c>
      <c r="I48" s="65">
        <f>D12+J12+P12+D30+J30+P30+D48</f>
        <v>8911.8799999999992</v>
      </c>
      <c r="J48" s="73"/>
      <c r="K48" s="50"/>
      <c r="L48" s="1"/>
      <c r="M48" s="219"/>
      <c r="N48" s="213"/>
      <c r="O48" s="213"/>
      <c r="P48" s="213"/>
      <c r="Q48" s="220"/>
    </row>
    <row r="49" spans="1:17" x14ac:dyDescent="0.2">
      <c r="A49" s="52" t="s">
        <v>12</v>
      </c>
      <c r="B49" s="87">
        <f>'Sun AM'!S11</f>
        <v>0</v>
      </c>
      <c r="C49" s="87">
        <f>'Sun PM'!S11</f>
        <v>0</v>
      </c>
      <c r="D49" s="85">
        <f>B49+C49</f>
        <v>0</v>
      </c>
      <c r="E49" s="50"/>
      <c r="F49" s="1"/>
      <c r="G49" s="1"/>
      <c r="H49" s="68" t="s">
        <v>12</v>
      </c>
      <c r="I49" s="67">
        <f>D13+J13+P13+D31+J31+P31+D49</f>
        <v>106</v>
      </c>
      <c r="J49" s="73"/>
      <c r="K49" s="50"/>
      <c r="L49" s="1"/>
      <c r="M49" s="219"/>
      <c r="N49" s="213"/>
      <c r="O49" s="213"/>
      <c r="P49" s="213"/>
      <c r="Q49" s="220"/>
    </row>
    <row r="50" spans="1:17" x14ac:dyDescent="0.2">
      <c r="A50" s="53"/>
      <c r="B50" s="36"/>
      <c r="C50" s="36"/>
      <c r="D50" s="1"/>
      <c r="E50" s="209"/>
      <c r="F50" s="1"/>
      <c r="G50" s="1"/>
      <c r="H50" s="53"/>
      <c r="I50" s="36"/>
      <c r="J50" s="1"/>
      <c r="K50" s="209"/>
      <c r="L50" s="1"/>
      <c r="M50" s="219"/>
      <c r="N50" s="213"/>
      <c r="O50" s="213"/>
      <c r="P50" s="213"/>
      <c r="Q50" s="220"/>
    </row>
    <row r="51" spans="1:17" x14ac:dyDescent="0.2">
      <c r="A51" s="42" t="s">
        <v>208</v>
      </c>
      <c r="B51" s="54">
        <f>B45-B47-B48-B49</f>
        <v>0</v>
      </c>
      <c r="C51" s="54">
        <f>C45-C47-C48-C49</f>
        <v>0</v>
      </c>
      <c r="D51" s="55">
        <f>B51+C51</f>
        <v>0</v>
      </c>
      <c r="E51" s="48"/>
      <c r="F51" s="1"/>
      <c r="G51" s="1"/>
      <c r="H51" s="62" t="s">
        <v>208</v>
      </c>
      <c r="I51" s="63">
        <f>D15+J15+P15+D33+J33+P33+D51</f>
        <v>-2757.4350000000018</v>
      </c>
      <c r="J51" s="72"/>
      <c r="K51" s="48"/>
      <c r="L51" s="1"/>
      <c r="M51" s="219"/>
      <c r="N51" s="213"/>
      <c r="O51" s="213"/>
      <c r="P51" s="213"/>
      <c r="Q51" s="220"/>
    </row>
    <row r="52" spans="1:17" x14ac:dyDescent="0.2">
      <c r="A52" s="52" t="s">
        <v>209</v>
      </c>
      <c r="B52" s="56">
        <f>B43+B51+B44</f>
        <v>0</v>
      </c>
      <c r="C52" s="56">
        <f>C43+C51+C44</f>
        <v>0</v>
      </c>
      <c r="D52" s="47">
        <f>B52+C52</f>
        <v>0</v>
      </c>
      <c r="E52" s="48"/>
      <c r="F52" s="1"/>
      <c r="G52" s="1"/>
      <c r="H52" s="68" t="s">
        <v>209</v>
      </c>
      <c r="I52" s="67">
        <f>D16+J16+P16+D34+J34+P34+D52</f>
        <v>-1444.435000000002</v>
      </c>
      <c r="J52" s="74" t="s">
        <v>213</v>
      </c>
      <c r="K52" s="48"/>
      <c r="L52" s="1"/>
      <c r="M52" s="219"/>
      <c r="N52" s="213"/>
      <c r="O52" s="213"/>
      <c r="P52" s="213"/>
      <c r="Q52" s="220"/>
    </row>
    <row r="53" spans="1:17" x14ac:dyDescent="0.2">
      <c r="A53" s="75"/>
      <c r="B53" s="221"/>
      <c r="C53" s="213"/>
      <c r="D53" s="213"/>
      <c r="E53" s="220"/>
      <c r="F53" s="1"/>
      <c r="G53" s="1"/>
      <c r="H53" s="1"/>
      <c r="I53" s="1"/>
      <c r="J53" s="1"/>
      <c r="K53" s="209"/>
      <c r="L53" s="1"/>
      <c r="M53" s="219"/>
      <c r="N53" s="213"/>
      <c r="O53" s="213"/>
      <c r="P53" s="213"/>
      <c r="Q53" s="220"/>
    </row>
    <row r="54" spans="1:17" x14ac:dyDescent="0.2">
      <c r="A54" s="76"/>
      <c r="B54" s="222"/>
      <c r="C54" s="223"/>
      <c r="D54" s="223"/>
      <c r="E54" s="224"/>
      <c r="F54" s="210"/>
      <c r="G54" s="210"/>
      <c r="H54" s="210"/>
      <c r="I54" s="210"/>
      <c r="J54" s="210"/>
      <c r="K54" s="211"/>
      <c r="L54" s="210"/>
      <c r="M54" s="228"/>
      <c r="N54" s="223"/>
      <c r="O54" s="223"/>
      <c r="P54" s="223"/>
      <c r="Q54" s="224"/>
    </row>
    <row r="56" spans="1:17" x14ac:dyDescent="0.2">
      <c r="N56" t="s">
        <v>214</v>
      </c>
    </row>
  </sheetData>
  <mergeCells count="32">
    <mergeCell ref="B2:D2"/>
    <mergeCell ref="N19:Q19"/>
    <mergeCell ref="B17:E17"/>
    <mergeCell ref="B53:E53"/>
    <mergeCell ref="H17:K17"/>
    <mergeCell ref="N17:Q17"/>
    <mergeCell ref="M50:Q50"/>
    <mergeCell ref="M53:Q53"/>
    <mergeCell ref="B54:E54"/>
    <mergeCell ref="M54:Q54"/>
    <mergeCell ref="B20:D20"/>
    <mergeCell ref="B18:E18"/>
    <mergeCell ref="L38:M38"/>
    <mergeCell ref="N38:O38"/>
    <mergeCell ref="N20:P20"/>
    <mergeCell ref="H20:J20"/>
    <mergeCell ref="H36:K36"/>
    <mergeCell ref="B38:D38"/>
    <mergeCell ref="B36:E36"/>
    <mergeCell ref="H18:K18"/>
    <mergeCell ref="M48:Q48"/>
    <mergeCell ref="H39:I39"/>
    <mergeCell ref="B35:E35"/>
    <mergeCell ref="N36:Q36"/>
    <mergeCell ref="H35:K35"/>
    <mergeCell ref="N35:Q35"/>
    <mergeCell ref="N2:P2"/>
    <mergeCell ref="H38:I38"/>
    <mergeCell ref="M49:Q49"/>
    <mergeCell ref="M52:Q52"/>
    <mergeCell ref="H2:J2"/>
    <mergeCell ref="M51:Q51"/>
  </mergeCells>
  <pageMargins left="0.7" right="0.7" top="0.75" bottom="0.75" header="0.3" footer="0.3"/>
  <pageSetup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41"/>
  <sheetViews>
    <sheetView showGridLines="0" workbookViewId="0">
      <selection activeCell="R38" sqref="R38"/>
    </sheetView>
  </sheetViews>
  <sheetFormatPr baseColWidth="10" defaultColWidth="8.83203125" defaultRowHeight="15" x14ac:dyDescent="0.2"/>
  <cols>
    <col min="3" max="4" width="11.83203125" bestFit="1" customWidth="1"/>
    <col min="5" max="5" width="10.83203125" bestFit="1" customWidth="1"/>
    <col min="6" max="6" width="11.83203125" bestFit="1" customWidth="1"/>
    <col min="7" max="7" width="12.6640625" bestFit="1" customWidth="1"/>
    <col min="8" max="8" width="12" customWidth="1"/>
    <col min="9" max="9" width="11.6640625" bestFit="1" customWidth="1"/>
    <col min="10" max="10" width="11.33203125" bestFit="1" customWidth="1"/>
    <col min="12" max="12" width="10.5" bestFit="1" customWidth="1"/>
    <col min="13" max="13" width="13.33203125" bestFit="1" customWidth="1"/>
    <col min="19" max="19" width="10.83203125" bestFit="1" customWidth="1"/>
  </cols>
  <sheetData>
    <row r="1" spans="1:19" x14ac:dyDescent="0.2">
      <c r="A1" s="110" t="s">
        <v>215</v>
      </c>
      <c r="B1" s="111" t="s">
        <v>216</v>
      </c>
      <c r="C1" s="111" t="s">
        <v>217</v>
      </c>
      <c r="D1" s="111" t="s">
        <v>218</v>
      </c>
      <c r="E1" s="111" t="s">
        <v>219</v>
      </c>
      <c r="F1" s="111" t="s">
        <v>220</v>
      </c>
      <c r="G1" s="111" t="s">
        <v>10</v>
      </c>
      <c r="H1" s="111" t="s">
        <v>11</v>
      </c>
      <c r="I1" s="111" t="s">
        <v>221</v>
      </c>
      <c r="J1" s="111" t="s">
        <v>222</v>
      </c>
      <c r="K1" s="111" t="s">
        <v>8</v>
      </c>
      <c r="L1" s="112" t="s">
        <v>223</v>
      </c>
      <c r="M1" s="113" t="s">
        <v>224</v>
      </c>
      <c r="N1" s="234" t="s">
        <v>225</v>
      </c>
      <c r="O1" s="235"/>
    </row>
    <row r="2" spans="1:19" x14ac:dyDescent="0.2">
      <c r="A2" s="114"/>
      <c r="B2" s="115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  <c r="N2" s="118" t="s">
        <v>226</v>
      </c>
      <c r="O2" s="119" t="s">
        <v>227</v>
      </c>
    </row>
    <row r="3" spans="1:19" x14ac:dyDescent="0.2">
      <c r="A3" s="120" t="str">
        <f>'Weekly Summary'!B2</f>
        <v>4/6</v>
      </c>
      <c r="B3" s="121" t="s">
        <v>2</v>
      </c>
      <c r="C3" s="122">
        <f>'Weekly Summary'!B4</f>
        <v>7479</v>
      </c>
      <c r="D3" s="122">
        <f>'Weekly Summary'!B5</f>
        <v>3382.75</v>
      </c>
      <c r="E3" s="122">
        <f>'Weekly Summary'!B6</f>
        <v>240</v>
      </c>
      <c r="F3" s="123">
        <f>SUM(D3:E3)</f>
        <v>3622.75</v>
      </c>
      <c r="G3" s="122">
        <f>-'Weekly Summary'!B11</f>
        <v>-3395.5800000000004</v>
      </c>
      <c r="H3" s="122">
        <f>-'Weekly Summary'!B12</f>
        <v>-1138.18</v>
      </c>
      <c r="I3" s="122">
        <f>-'Weekly Summary'!B13</f>
        <v>0</v>
      </c>
      <c r="J3" s="123">
        <f>SUM(F3:I3)</f>
        <v>-911.01000000000045</v>
      </c>
      <c r="K3" s="124">
        <f>'Weekly Summary'!B7</f>
        <v>46.75</v>
      </c>
      <c r="L3" s="125">
        <f>'Weekly Summary'!B8</f>
        <v>168.75</v>
      </c>
      <c r="M3" s="126">
        <f>SUM(J3:L3)</f>
        <v>-695.51000000000045</v>
      </c>
      <c r="N3" s="127">
        <f>'Mon AM'!S18</f>
        <v>19</v>
      </c>
      <c r="O3" s="128">
        <f>'Mon AM'!S19</f>
        <v>6</v>
      </c>
    </row>
    <row r="4" spans="1:19" x14ac:dyDescent="0.2">
      <c r="A4" s="129"/>
      <c r="B4" s="130" t="s">
        <v>112</v>
      </c>
      <c r="C4" s="131">
        <f>'Weekly Summary'!C4</f>
        <v>2789</v>
      </c>
      <c r="D4" s="131">
        <f>'Weekly Summary'!C5</f>
        <v>1304</v>
      </c>
      <c r="E4" s="131">
        <f>'Weekly Summary'!C6</f>
        <v>96</v>
      </c>
      <c r="F4" s="132">
        <f>SUM(D4:E4)</f>
        <v>1400</v>
      </c>
      <c r="G4" s="131">
        <f>-'Weekly Summary'!C11</f>
        <v>-1037.3900000000001</v>
      </c>
      <c r="H4" s="131">
        <f>-'Weekly Summary'!C12</f>
        <v>-559.21</v>
      </c>
      <c r="I4" s="131">
        <f>-'Weekly Summary'!C13</f>
        <v>0</v>
      </c>
      <c r="J4" s="132">
        <f>SUM(F4:I4)</f>
        <v>-196.60000000000014</v>
      </c>
      <c r="K4" s="131">
        <f>'Weekly Summary'!C7</f>
        <v>13.75</v>
      </c>
      <c r="L4" s="133">
        <f>'Weekly Summary'!C8</f>
        <v>72.25</v>
      </c>
      <c r="M4" s="126">
        <f>SUM(J4:L4)</f>
        <v>-110.60000000000014</v>
      </c>
      <c r="N4" s="134">
        <f>'Mon PM'!S18</f>
        <v>8</v>
      </c>
      <c r="O4" s="135">
        <f>'Mon PM'!S19</f>
        <v>3</v>
      </c>
    </row>
    <row r="5" spans="1:19" x14ac:dyDescent="0.2">
      <c r="A5" s="136"/>
      <c r="B5" s="21"/>
      <c r="C5" s="22"/>
      <c r="D5" s="22"/>
      <c r="E5" s="22"/>
      <c r="F5" s="22"/>
      <c r="G5" s="22"/>
      <c r="H5" s="22"/>
      <c r="I5" s="22"/>
      <c r="J5" s="22"/>
      <c r="K5" s="22"/>
      <c r="L5" s="22"/>
      <c r="M5" s="137"/>
      <c r="N5" s="1"/>
      <c r="O5" s="138"/>
    </row>
    <row r="6" spans="1:19" x14ac:dyDescent="0.2">
      <c r="A6" s="139" t="s">
        <v>220</v>
      </c>
      <c r="B6" s="140"/>
      <c r="C6" s="141">
        <f t="shared" ref="C6:M6" si="0">SUM(C3:C5)</f>
        <v>10268</v>
      </c>
      <c r="D6" s="141">
        <f t="shared" si="0"/>
        <v>4686.75</v>
      </c>
      <c r="E6" s="141">
        <f t="shared" si="0"/>
        <v>336</v>
      </c>
      <c r="F6" s="141">
        <f t="shared" si="0"/>
        <v>5022.75</v>
      </c>
      <c r="G6" s="141">
        <f t="shared" si="0"/>
        <v>-4432.97</v>
      </c>
      <c r="H6" s="141">
        <f t="shared" si="0"/>
        <v>-1697.39</v>
      </c>
      <c r="I6" s="141">
        <f t="shared" si="0"/>
        <v>0</v>
      </c>
      <c r="J6" s="141">
        <f t="shared" si="0"/>
        <v>-1107.6100000000006</v>
      </c>
      <c r="K6" s="141">
        <f t="shared" si="0"/>
        <v>60.5</v>
      </c>
      <c r="L6" s="141">
        <f t="shared" si="0"/>
        <v>241</v>
      </c>
      <c r="M6" s="142">
        <f t="shared" si="0"/>
        <v>-806.11000000000058</v>
      </c>
      <c r="N6" s="143"/>
      <c r="O6" s="144"/>
      <c r="Q6">
        <f>'Mon AM'!S14+'Mon PM'!S14</f>
        <v>-829</v>
      </c>
    </row>
    <row r="7" spans="1:19" x14ac:dyDescent="0.2">
      <c r="A7" s="145"/>
      <c r="B7" s="146"/>
      <c r="C7" s="116"/>
      <c r="D7" s="147">
        <f>D6/C6</f>
        <v>0.4564423451499805</v>
      </c>
      <c r="E7" s="116"/>
      <c r="F7" s="116"/>
      <c r="G7" s="116"/>
      <c r="H7" s="116"/>
      <c r="I7" s="116"/>
      <c r="J7" s="116"/>
      <c r="K7" s="116"/>
      <c r="L7" s="116"/>
      <c r="M7" s="117"/>
      <c r="N7" s="148" t="s">
        <v>226</v>
      </c>
      <c r="O7" s="149" t="s">
        <v>227</v>
      </c>
    </row>
    <row r="8" spans="1:19" x14ac:dyDescent="0.2">
      <c r="A8" s="120">
        <f>A3+1</f>
        <v>46119</v>
      </c>
      <c r="B8" s="121" t="s">
        <v>2</v>
      </c>
      <c r="C8" s="166">
        <f>'Weekly Summary'!H4</f>
        <v>7097.9400000000005</v>
      </c>
      <c r="D8" s="122">
        <f>'Weekly Summary'!H5</f>
        <v>3210.7200000000003</v>
      </c>
      <c r="E8" s="124">
        <f>'Weekly Summary'!H6</f>
        <v>254</v>
      </c>
      <c r="F8" s="123">
        <f>SUM(D8:E8)</f>
        <v>3464.7200000000003</v>
      </c>
      <c r="G8" s="124">
        <f>-'Weekly Summary'!H11</f>
        <v>-2384.2400000000002</v>
      </c>
      <c r="H8" s="124">
        <f>-'Weekly Summary'!H12</f>
        <v>-1122.0900000000001</v>
      </c>
      <c r="I8" s="124">
        <f>-'Weekly Summary'!H13</f>
        <v>-17</v>
      </c>
      <c r="J8" s="123">
        <f>SUM(F8:I8)</f>
        <v>-58.610000000000127</v>
      </c>
      <c r="K8" s="124">
        <f>'Weekly Summary'!H7</f>
        <v>71.5</v>
      </c>
      <c r="L8" s="125">
        <f>'Weekly Summary'!H8</f>
        <v>124.25</v>
      </c>
      <c r="M8" s="126">
        <f>SUM(J8:L8)</f>
        <v>137.13999999999987</v>
      </c>
      <c r="N8" s="127">
        <f>'Tues AM'!S18</f>
        <v>20</v>
      </c>
      <c r="O8" s="128">
        <f>'Tues AM'!S19</f>
        <v>7</v>
      </c>
    </row>
    <row r="9" spans="1:19" x14ac:dyDescent="0.2">
      <c r="A9" s="129"/>
      <c r="B9" s="130" t="s">
        <v>112</v>
      </c>
      <c r="C9" s="131">
        <f>'Weekly Summary'!I4</f>
        <v>2872</v>
      </c>
      <c r="D9" s="131">
        <f>'Weekly Summary'!I5</f>
        <v>1329.5</v>
      </c>
      <c r="E9" s="131">
        <f>'Weekly Summary'!I6</f>
        <v>116</v>
      </c>
      <c r="F9" s="132">
        <f>SUM(D9:E9)</f>
        <v>1445.5</v>
      </c>
      <c r="G9" s="131">
        <f>-'Weekly Summary'!I11</f>
        <v>-1137.23</v>
      </c>
      <c r="H9" s="131">
        <f>-'Weekly Summary'!I12</f>
        <v>-475.78</v>
      </c>
      <c r="I9" s="131">
        <f>-'Weekly Summary'!I13</f>
        <v>0</v>
      </c>
      <c r="J9" s="132">
        <f>SUM(F9:I9)</f>
        <v>-167.51</v>
      </c>
      <c r="K9" s="131">
        <f>'Weekly Summary'!I7</f>
        <v>13.75</v>
      </c>
      <c r="L9" s="133">
        <f>'Weekly Summary'!I8</f>
        <v>65.25</v>
      </c>
      <c r="M9" s="126">
        <f>SUM(J9:L9)</f>
        <v>-88.509999999999991</v>
      </c>
      <c r="N9" s="134">
        <f>'Tues PM'!S18</f>
        <v>11</v>
      </c>
      <c r="O9" s="135">
        <f>'Tues PM'!S19</f>
        <v>4</v>
      </c>
    </row>
    <row r="10" spans="1:19" x14ac:dyDescent="0.2">
      <c r="A10" s="136"/>
      <c r="B10" s="21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137"/>
      <c r="N10" s="152"/>
      <c r="O10" s="153"/>
    </row>
    <row r="11" spans="1:19" x14ac:dyDescent="0.2">
      <c r="A11" s="139" t="s">
        <v>220</v>
      </c>
      <c r="B11" s="140"/>
      <c r="C11" s="141">
        <f t="shared" ref="C11:M11" si="1">SUM(C8:C10)</f>
        <v>9969.94</v>
      </c>
      <c r="D11" s="141">
        <f t="shared" si="1"/>
        <v>4540.22</v>
      </c>
      <c r="E11" s="141">
        <f t="shared" si="1"/>
        <v>370</v>
      </c>
      <c r="F11" s="141">
        <f t="shared" si="1"/>
        <v>4910.22</v>
      </c>
      <c r="G11" s="141">
        <f t="shared" si="1"/>
        <v>-3521.4700000000003</v>
      </c>
      <c r="H11" s="141">
        <f t="shared" si="1"/>
        <v>-1597.8700000000001</v>
      </c>
      <c r="I11" s="141">
        <f t="shared" si="1"/>
        <v>-17</v>
      </c>
      <c r="J11" s="141">
        <f t="shared" si="1"/>
        <v>-226.12000000000012</v>
      </c>
      <c r="K11" s="141">
        <f t="shared" si="1"/>
        <v>85.25</v>
      </c>
      <c r="L11" s="141">
        <f t="shared" si="1"/>
        <v>189.5</v>
      </c>
      <c r="M11" s="142">
        <f t="shared" si="1"/>
        <v>48.629999999999882</v>
      </c>
      <c r="N11" s="154"/>
      <c r="O11" s="155"/>
      <c r="Q11">
        <f>'Tues AM'!S14+'Tues PM'!S14</f>
        <v>15</v>
      </c>
    </row>
    <row r="12" spans="1:19" x14ac:dyDescent="0.2">
      <c r="A12" s="145"/>
      <c r="B12" s="146"/>
      <c r="C12" s="116"/>
      <c r="D12" s="147">
        <f>D11/C11</f>
        <v>0.45539090506061219</v>
      </c>
      <c r="E12" s="116"/>
      <c r="F12" s="116"/>
      <c r="G12" s="116"/>
      <c r="H12" s="116"/>
      <c r="I12" s="116"/>
      <c r="J12" s="116"/>
      <c r="K12" s="116"/>
      <c r="L12" s="116"/>
      <c r="M12" s="117"/>
      <c r="N12" s="148" t="s">
        <v>226</v>
      </c>
      <c r="O12" s="149" t="s">
        <v>227</v>
      </c>
    </row>
    <row r="13" spans="1:19" x14ac:dyDescent="0.2">
      <c r="A13" s="120">
        <f>A3+2</f>
        <v>46120</v>
      </c>
      <c r="B13" s="121" t="s">
        <v>2</v>
      </c>
      <c r="C13" s="124">
        <f>'Weekly Summary'!N4</f>
        <v>6991</v>
      </c>
      <c r="D13" s="124">
        <f>'Weekly Summary'!N5</f>
        <v>3143</v>
      </c>
      <c r="E13" s="124">
        <f>'Weekly Summary'!N6</f>
        <v>256</v>
      </c>
      <c r="F13" s="123">
        <f>SUM(D13:E13)</f>
        <v>3399</v>
      </c>
      <c r="G13" s="124">
        <f>-'Weekly Summary'!N11</f>
        <v>-2165.56</v>
      </c>
      <c r="H13" s="156">
        <f>-'Weekly Summary'!N12</f>
        <v>-1470.84</v>
      </c>
      <c r="I13" s="124">
        <f>-'Weekly Summary'!N13</f>
        <v>0</v>
      </c>
      <c r="J13" s="123">
        <f>SUM(F13:I13)</f>
        <v>-237.39999999999986</v>
      </c>
      <c r="K13" s="124">
        <f>'Weekly Summary'!N7</f>
        <v>71.5</v>
      </c>
      <c r="L13" s="125">
        <f>'Weekly Summary'!N8</f>
        <v>116.5</v>
      </c>
      <c r="M13" s="126">
        <f>SUM(J13:L13)</f>
        <v>-49.399999999999864</v>
      </c>
      <c r="N13" s="150">
        <f>'Wed AM'!S18</f>
        <v>20</v>
      </c>
      <c r="O13" s="151">
        <f>'Wed AM'!S19</f>
        <v>8</v>
      </c>
    </row>
    <row r="14" spans="1:19" x14ac:dyDescent="0.2">
      <c r="A14" s="129"/>
      <c r="B14" s="130" t="s">
        <v>112</v>
      </c>
      <c r="C14" s="131">
        <f>'Weekly Summary'!O4</f>
        <v>2731</v>
      </c>
      <c r="D14" s="131">
        <f>'Weekly Summary'!O5</f>
        <v>1258.5</v>
      </c>
      <c r="E14" s="131">
        <f>'Weekly Summary'!O6</f>
        <v>104</v>
      </c>
      <c r="F14" s="132">
        <f>SUM(D14:E14)</f>
        <v>1362.5</v>
      </c>
      <c r="G14" s="131">
        <f>-'Weekly Summary'!O11</f>
        <v>-1054.92</v>
      </c>
      <c r="H14" s="131">
        <f>-'Weekly Summary'!O12</f>
        <v>-562.79000000000008</v>
      </c>
      <c r="I14" s="131">
        <f>-'Weekly Summary'!O13</f>
        <v>-14</v>
      </c>
      <c r="J14" s="132">
        <f>SUM(F14:I14)</f>
        <v>-269.21000000000015</v>
      </c>
      <c r="K14" s="131">
        <f>'Weekly Summary'!O7</f>
        <v>16.5</v>
      </c>
      <c r="L14" s="133">
        <f>'Weekly Summary'!O8</f>
        <v>68.75</v>
      </c>
      <c r="M14" s="126">
        <f>SUM(J14:L14)</f>
        <v>-183.96000000000015</v>
      </c>
      <c r="N14" s="134">
        <f>'Wed PM'!S18</f>
        <v>9</v>
      </c>
      <c r="O14" s="135">
        <f>'Wed PM'!S19</f>
        <v>4</v>
      </c>
    </row>
    <row r="15" spans="1:19" x14ac:dyDescent="0.2">
      <c r="A15" s="136"/>
      <c r="B15" s="21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137"/>
      <c r="N15" s="154"/>
      <c r="O15" s="155"/>
    </row>
    <row r="16" spans="1:19" x14ac:dyDescent="0.2">
      <c r="A16" s="139" t="s">
        <v>220</v>
      </c>
      <c r="B16" s="140"/>
      <c r="C16" s="141">
        <f t="shared" ref="C16:M16" si="2">SUM(C13:C15)</f>
        <v>9722</v>
      </c>
      <c r="D16" s="141">
        <f t="shared" si="2"/>
        <v>4401.5</v>
      </c>
      <c r="E16" s="141">
        <f t="shared" si="2"/>
        <v>360</v>
      </c>
      <c r="F16" s="141">
        <f t="shared" si="2"/>
        <v>4761.5</v>
      </c>
      <c r="G16" s="141">
        <f t="shared" si="2"/>
        <v>-3220.48</v>
      </c>
      <c r="H16" s="141">
        <f t="shared" si="2"/>
        <v>-2033.63</v>
      </c>
      <c r="I16" s="141">
        <f t="shared" si="2"/>
        <v>-14</v>
      </c>
      <c r="J16" s="141">
        <f t="shared" si="2"/>
        <v>-506.61</v>
      </c>
      <c r="K16" s="141">
        <f t="shared" si="2"/>
        <v>88</v>
      </c>
      <c r="L16" s="141">
        <f t="shared" si="2"/>
        <v>185.25</v>
      </c>
      <c r="M16" s="142">
        <f t="shared" si="2"/>
        <v>-233.36</v>
      </c>
      <c r="N16" s="154"/>
      <c r="O16" s="155"/>
      <c r="Q16">
        <f>'Wed AM'!S14+'Wed PM'!S14</f>
        <v>-251</v>
      </c>
      <c r="S16" s="22">
        <f>M6+M11+M16</f>
        <v>-990.84000000000071</v>
      </c>
    </row>
    <row r="17" spans="1:19" x14ac:dyDescent="0.2">
      <c r="A17" s="145"/>
      <c r="B17" s="146"/>
      <c r="C17" s="116"/>
      <c r="D17" s="147">
        <f>D16/C16</f>
        <v>0.45273606253857229</v>
      </c>
      <c r="E17" s="116"/>
      <c r="F17" s="116"/>
      <c r="G17" s="116"/>
      <c r="H17" s="116"/>
      <c r="I17" s="116"/>
      <c r="J17" s="116"/>
      <c r="K17" s="116"/>
      <c r="L17" s="116"/>
      <c r="M17" s="117"/>
      <c r="N17" s="148" t="s">
        <v>226</v>
      </c>
      <c r="O17" s="149" t="s">
        <v>227</v>
      </c>
    </row>
    <row r="18" spans="1:19" x14ac:dyDescent="0.2">
      <c r="A18" s="120">
        <f>A3+3</f>
        <v>46121</v>
      </c>
      <c r="B18" s="121" t="s">
        <v>2</v>
      </c>
      <c r="C18" s="124">
        <f>'Weekly Summary'!B22</f>
        <v>8099.25</v>
      </c>
      <c r="D18" s="124">
        <f>'Weekly Summary'!B23</f>
        <v>3662.125</v>
      </c>
      <c r="E18" s="124">
        <f>'Weekly Summary'!B24</f>
        <v>254</v>
      </c>
      <c r="F18" s="123">
        <f>SUM(D18:E18)</f>
        <v>3916.125</v>
      </c>
      <c r="G18" s="124">
        <f>-'Weekly Summary'!B29</f>
        <v>-2719.2800000000007</v>
      </c>
      <c r="H18" s="124">
        <f>-'Weekly Summary'!B30</f>
        <v>-1962.12</v>
      </c>
      <c r="I18" s="124">
        <f>-'Weekly Summary'!B31</f>
        <v>0</v>
      </c>
      <c r="J18" s="123">
        <f>SUM(F18:I18)</f>
        <v>-765.27500000000055</v>
      </c>
      <c r="K18" s="124">
        <f>'Weekly Summary'!B25</f>
        <v>57.75</v>
      </c>
      <c r="L18" s="125">
        <f>'Weekly Summary'!B26</f>
        <v>148.5</v>
      </c>
      <c r="M18" s="126">
        <f>SUM(J18:L18)</f>
        <v>-559.02500000000055</v>
      </c>
      <c r="N18" s="150">
        <f>'Thurs AM'!S18</f>
        <v>20</v>
      </c>
      <c r="O18" s="151">
        <f>'Thurs AM'!S19</f>
        <v>7</v>
      </c>
    </row>
    <row r="19" spans="1:19" x14ac:dyDescent="0.2">
      <c r="A19" s="129"/>
      <c r="B19" s="130" t="s">
        <v>112</v>
      </c>
      <c r="C19" s="131">
        <f>'Weekly Summary'!C22</f>
        <v>2955</v>
      </c>
      <c r="D19" s="131">
        <f>'Weekly Summary'!C23</f>
        <v>1343.75</v>
      </c>
      <c r="E19" s="131">
        <f>'Weekly Summary'!C24</f>
        <v>110</v>
      </c>
      <c r="F19" s="132">
        <f>SUM(D19:E19)</f>
        <v>1453.75</v>
      </c>
      <c r="G19" s="131">
        <f>-'Weekly Summary'!C29</f>
        <v>-1030.44</v>
      </c>
      <c r="H19" s="131">
        <f>-'Weekly Summary'!C30</f>
        <v>-366.07</v>
      </c>
      <c r="I19" s="131">
        <f>-'Weekly Summary'!C31</f>
        <v>0</v>
      </c>
      <c r="J19" s="132">
        <f>SUM(F19:I19)</f>
        <v>57.239999999999952</v>
      </c>
      <c r="K19" s="131">
        <f>'Weekly Summary'!C25</f>
        <v>19.25</v>
      </c>
      <c r="L19" s="133">
        <f>'Weekly Summary'!C26</f>
        <v>41.5</v>
      </c>
      <c r="M19" s="126">
        <f>SUM(J19:L19)</f>
        <v>117.98999999999995</v>
      </c>
      <c r="N19" s="134">
        <f>'Thurs PM'!S18</f>
        <v>9</v>
      </c>
      <c r="O19" s="135">
        <f>'Thurs PM'!S19</f>
        <v>5</v>
      </c>
    </row>
    <row r="20" spans="1:19" x14ac:dyDescent="0.2">
      <c r="A20" s="136"/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137"/>
      <c r="N20" s="154"/>
      <c r="O20" s="155"/>
    </row>
    <row r="21" spans="1:19" x14ac:dyDescent="0.2">
      <c r="A21" s="139" t="s">
        <v>220</v>
      </c>
      <c r="B21" s="140"/>
      <c r="C21" s="141">
        <f t="shared" ref="C21:M21" si="3">SUM(C18:C20)</f>
        <v>11054.25</v>
      </c>
      <c r="D21" s="141">
        <f t="shared" si="3"/>
        <v>5005.875</v>
      </c>
      <c r="E21" s="141">
        <f t="shared" si="3"/>
        <v>364</v>
      </c>
      <c r="F21" s="141">
        <f t="shared" si="3"/>
        <v>5369.875</v>
      </c>
      <c r="G21" s="141">
        <f t="shared" si="3"/>
        <v>-3749.7200000000007</v>
      </c>
      <c r="H21" s="141">
        <f t="shared" si="3"/>
        <v>-2328.19</v>
      </c>
      <c r="I21" s="141">
        <f t="shared" si="3"/>
        <v>0</v>
      </c>
      <c r="J21" s="141">
        <f t="shared" si="3"/>
        <v>-708.03500000000054</v>
      </c>
      <c r="K21" s="141">
        <f t="shared" si="3"/>
        <v>77</v>
      </c>
      <c r="L21" s="141">
        <f t="shared" si="3"/>
        <v>190</v>
      </c>
      <c r="M21" s="142">
        <f t="shared" si="3"/>
        <v>-441.03500000000059</v>
      </c>
      <c r="N21" s="154"/>
      <c r="O21" s="155"/>
      <c r="Q21">
        <f>'Thurs AM'!S14+'Thurs PM'!S14</f>
        <v>-539</v>
      </c>
    </row>
    <row r="22" spans="1:19" x14ac:dyDescent="0.2">
      <c r="A22" s="145"/>
      <c r="B22" s="146"/>
      <c r="C22" s="116"/>
      <c r="D22" s="147">
        <f>D21/C21</f>
        <v>0.45284619037926588</v>
      </c>
      <c r="E22" s="116"/>
      <c r="F22" s="116"/>
      <c r="G22" s="116"/>
      <c r="H22" s="116"/>
      <c r="I22" s="116"/>
      <c r="J22" s="116"/>
      <c r="K22" s="116"/>
      <c r="L22" s="116"/>
      <c r="M22" s="117"/>
      <c r="N22" s="148" t="s">
        <v>226</v>
      </c>
      <c r="O22" s="149" t="s">
        <v>227</v>
      </c>
    </row>
    <row r="23" spans="1:19" x14ac:dyDescent="0.2">
      <c r="A23" s="120">
        <f>A3+4</f>
        <v>46122</v>
      </c>
      <c r="B23" s="121" t="s">
        <v>2</v>
      </c>
      <c r="C23" s="124">
        <f>'Weekly Summary'!H22</f>
        <v>6131.5</v>
      </c>
      <c r="D23" s="124">
        <f>'Weekly Summary'!H23</f>
        <v>2825.5</v>
      </c>
      <c r="E23" s="124">
        <f>'Weekly Summary'!H24</f>
        <v>254</v>
      </c>
      <c r="F23" s="123">
        <f>SUM(D23:E23)</f>
        <v>3079.5</v>
      </c>
      <c r="G23" s="124">
        <f>-'Weekly Summary'!H29</f>
        <v>-2079.6900000000005</v>
      </c>
      <c r="H23" s="124">
        <f>-'Weekly Summary'!H30</f>
        <v>-747.99</v>
      </c>
      <c r="I23" s="124">
        <f>-'Weekly Summary'!H31</f>
        <v>-75</v>
      </c>
      <c r="J23" s="123">
        <f>SUM(F23:I23)</f>
        <v>176.81999999999948</v>
      </c>
      <c r="K23" s="124">
        <f>'Weekly Summary'!H25</f>
        <v>46.75</v>
      </c>
      <c r="L23" s="125">
        <f>'Weekly Summary'!H26</f>
        <v>65.75</v>
      </c>
      <c r="M23" s="126">
        <f>SUM(J23:L23)</f>
        <v>289.31999999999948</v>
      </c>
      <c r="N23" s="127">
        <f>'Fri AM'!S18</f>
        <v>20</v>
      </c>
      <c r="O23" s="128">
        <f>'Fri AM'!S19</f>
        <v>7</v>
      </c>
    </row>
    <row r="24" spans="1:19" x14ac:dyDescent="0.2">
      <c r="A24" s="129"/>
      <c r="B24" s="130" t="s">
        <v>112</v>
      </c>
      <c r="C24" s="131">
        <f>'Weekly Summary'!I22</f>
        <v>3148</v>
      </c>
      <c r="D24" s="131">
        <f>'Weekly Summary'!I23</f>
        <v>1429.75</v>
      </c>
      <c r="E24" s="131">
        <f>'Weekly Summary'!I24</f>
        <v>120</v>
      </c>
      <c r="F24" s="132">
        <f>SUM(D24:E24)</f>
        <v>1549.75</v>
      </c>
      <c r="G24" s="131">
        <f>-'Weekly Summary'!I29</f>
        <v>-1428.8200000000002</v>
      </c>
      <c r="H24" s="131">
        <f>-'Weekly Summary'!I30</f>
        <v>-506.81</v>
      </c>
      <c r="I24" s="131">
        <f>-'Weekly Summary'!I31</f>
        <v>0</v>
      </c>
      <c r="J24" s="132">
        <f>SUM(F24:I24)</f>
        <v>-385.88000000000017</v>
      </c>
      <c r="K24" s="131">
        <f>'Weekly Summary'!I25</f>
        <v>24.75</v>
      </c>
      <c r="L24" s="133">
        <f>'Weekly Summary'!I26</f>
        <v>59.25</v>
      </c>
      <c r="M24" s="126">
        <f>SUM(J24:L24)</f>
        <v>-301.88000000000017</v>
      </c>
      <c r="N24" s="134">
        <f>'Fri PM'!S18</f>
        <v>10</v>
      </c>
      <c r="O24" s="135">
        <f>'Fri PM'!S19</f>
        <v>3</v>
      </c>
    </row>
    <row r="25" spans="1:19" x14ac:dyDescent="0.2">
      <c r="A25" s="136"/>
      <c r="B25" s="21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137"/>
      <c r="N25" s="154"/>
      <c r="O25" s="155"/>
    </row>
    <row r="26" spans="1:19" x14ac:dyDescent="0.2">
      <c r="A26" s="139" t="s">
        <v>220</v>
      </c>
      <c r="B26" s="140"/>
      <c r="C26" s="141">
        <f t="shared" ref="C26:M26" si="4">SUM(C23:C25)</f>
        <v>9279.5</v>
      </c>
      <c r="D26" s="141">
        <f t="shared" si="4"/>
        <v>4255.25</v>
      </c>
      <c r="E26" s="141">
        <f t="shared" si="4"/>
        <v>374</v>
      </c>
      <c r="F26" s="141">
        <f t="shared" si="4"/>
        <v>4629.25</v>
      </c>
      <c r="G26" s="141">
        <f t="shared" si="4"/>
        <v>-3508.5100000000007</v>
      </c>
      <c r="H26" s="141">
        <f t="shared" si="4"/>
        <v>-1254.8</v>
      </c>
      <c r="I26" s="141">
        <f t="shared" si="4"/>
        <v>-75</v>
      </c>
      <c r="J26" s="141">
        <f t="shared" si="4"/>
        <v>-209.06000000000068</v>
      </c>
      <c r="K26" s="141">
        <f t="shared" si="4"/>
        <v>71.5</v>
      </c>
      <c r="L26" s="141">
        <f t="shared" si="4"/>
        <v>125</v>
      </c>
      <c r="M26" s="142">
        <f t="shared" si="4"/>
        <v>-12.560000000000684</v>
      </c>
      <c r="N26" s="154"/>
      <c r="O26" s="155"/>
      <c r="Q26">
        <f>'Fri AM'!S14+'Fri PM'!S14</f>
        <v>-14</v>
      </c>
      <c r="S26" s="22">
        <f>S16+M21+M26</f>
        <v>-1444.435000000002</v>
      </c>
    </row>
    <row r="27" spans="1:19" x14ac:dyDescent="0.2">
      <c r="A27" s="145"/>
      <c r="B27" s="146"/>
      <c r="C27" s="116"/>
      <c r="D27" s="147">
        <f>D26/C26</f>
        <v>0.45856457783285737</v>
      </c>
      <c r="E27" s="116"/>
      <c r="F27" s="116"/>
      <c r="G27" s="116"/>
      <c r="H27" s="116"/>
      <c r="I27" s="116"/>
      <c r="J27" s="116"/>
      <c r="K27" s="116"/>
      <c r="L27" s="116"/>
      <c r="M27" s="117"/>
      <c r="N27" s="148" t="s">
        <v>226</v>
      </c>
      <c r="O27" s="149" t="s">
        <v>227</v>
      </c>
    </row>
    <row r="28" spans="1:19" x14ac:dyDescent="0.2">
      <c r="A28" s="120">
        <f>A3+5</f>
        <v>46123</v>
      </c>
      <c r="B28" s="121" t="s">
        <v>2</v>
      </c>
      <c r="C28" s="124">
        <f>'Weekly Summary'!N22</f>
        <v>0</v>
      </c>
      <c r="D28" s="124">
        <f>'Weekly Summary'!N23</f>
        <v>0</v>
      </c>
      <c r="E28" s="124">
        <f>'Weekly Summary'!N24</f>
        <v>0</v>
      </c>
      <c r="F28" s="123">
        <f>SUM(D28:E28)</f>
        <v>0</v>
      </c>
      <c r="G28" s="124">
        <f>-'Weekly Summary'!N29</f>
        <v>0</v>
      </c>
      <c r="H28" s="124">
        <f>-'Weekly Summary'!N30</f>
        <v>0</v>
      </c>
      <c r="I28" s="124">
        <f>-'Weekly Summary'!N31</f>
        <v>0</v>
      </c>
      <c r="J28" s="123">
        <f>SUM(F28:I28)</f>
        <v>0</v>
      </c>
      <c r="K28" s="124">
        <f>'Weekly Summary'!N25</f>
        <v>0</v>
      </c>
      <c r="L28" s="125">
        <f>'Weekly Summary'!N26</f>
        <v>0</v>
      </c>
      <c r="M28" s="126">
        <f>SUM(J28:L28)</f>
        <v>0</v>
      </c>
      <c r="N28" s="127">
        <f>'Sat AM'!S18</f>
        <v>0</v>
      </c>
      <c r="O28" s="128">
        <f>'Sat AM'!S19</f>
        <v>0</v>
      </c>
    </row>
    <row r="29" spans="1:19" x14ac:dyDescent="0.2">
      <c r="A29" s="129"/>
      <c r="B29" s="130" t="s">
        <v>112</v>
      </c>
      <c r="C29" s="131">
        <f>'Weekly Summary'!O22</f>
        <v>0</v>
      </c>
      <c r="D29" s="131">
        <f>'Weekly Summary'!O23</f>
        <v>0</v>
      </c>
      <c r="E29" s="131">
        <f>'Weekly Summary'!O24</f>
        <v>0</v>
      </c>
      <c r="F29" s="132">
        <f>SUM(D29:E29)</f>
        <v>0</v>
      </c>
      <c r="G29" s="131">
        <f>-'Weekly Summary'!O29</f>
        <v>0</v>
      </c>
      <c r="H29" s="131">
        <f>-'Weekly Summary'!O30</f>
        <v>0</v>
      </c>
      <c r="I29" s="131">
        <f>-'Weekly Summary'!O31</f>
        <v>0</v>
      </c>
      <c r="J29" s="132">
        <f>SUM(F29:I29)</f>
        <v>0</v>
      </c>
      <c r="K29" s="131">
        <f>'Weekly Summary'!O25</f>
        <v>0</v>
      </c>
      <c r="L29" s="133">
        <f>'Weekly Summary'!O26</f>
        <v>0</v>
      </c>
      <c r="M29" s="126">
        <f>SUM(J29:L29)</f>
        <v>0</v>
      </c>
      <c r="N29" s="134">
        <f>'Sat PM'!S18</f>
        <v>0</v>
      </c>
      <c r="O29" s="135">
        <f>'Sat PM'!S19</f>
        <v>0</v>
      </c>
    </row>
    <row r="30" spans="1:19" x14ac:dyDescent="0.2">
      <c r="A30" s="136"/>
      <c r="B30" s="21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137"/>
      <c r="N30" s="154"/>
      <c r="O30" s="155"/>
    </row>
    <row r="31" spans="1:19" x14ac:dyDescent="0.2">
      <c r="A31" s="139" t="s">
        <v>220</v>
      </c>
      <c r="B31" s="140"/>
      <c r="C31" s="141">
        <f t="shared" ref="C31:M31" si="5">SUM(C28:C30)</f>
        <v>0</v>
      </c>
      <c r="D31" s="141">
        <f t="shared" si="5"/>
        <v>0</v>
      </c>
      <c r="E31" s="141">
        <f t="shared" si="5"/>
        <v>0</v>
      </c>
      <c r="F31" s="141">
        <f t="shared" si="5"/>
        <v>0</v>
      </c>
      <c r="G31" s="141">
        <f t="shared" si="5"/>
        <v>0</v>
      </c>
      <c r="H31" s="141">
        <f t="shared" si="5"/>
        <v>0</v>
      </c>
      <c r="I31" s="141">
        <f t="shared" si="5"/>
        <v>0</v>
      </c>
      <c r="J31" s="141">
        <f t="shared" si="5"/>
        <v>0</v>
      </c>
      <c r="K31" s="141">
        <f t="shared" si="5"/>
        <v>0</v>
      </c>
      <c r="L31" s="141">
        <f t="shared" si="5"/>
        <v>0</v>
      </c>
      <c r="M31" s="142">
        <f t="shared" si="5"/>
        <v>0</v>
      </c>
      <c r="N31" s="154"/>
      <c r="O31" s="155"/>
      <c r="Q31">
        <f>'Sat AM'!S14+'Sat PM'!S14</f>
        <v>0</v>
      </c>
    </row>
    <row r="32" spans="1:19" x14ac:dyDescent="0.2">
      <c r="A32" s="145"/>
      <c r="B32" s="146"/>
      <c r="C32" s="116"/>
      <c r="D32" s="147" t="e">
        <f>D31/C31</f>
        <v>#DIV/0!</v>
      </c>
      <c r="E32" s="116"/>
      <c r="F32" s="116"/>
      <c r="G32" s="116"/>
      <c r="H32" s="116"/>
      <c r="I32" s="116"/>
      <c r="J32" s="116"/>
      <c r="K32" s="116"/>
      <c r="L32" s="116"/>
      <c r="M32" s="117"/>
      <c r="N32" s="148" t="s">
        <v>226</v>
      </c>
      <c r="O32" s="149" t="s">
        <v>227</v>
      </c>
    </row>
    <row r="33" spans="1:18" x14ac:dyDescent="0.2">
      <c r="A33" s="120">
        <f>A3+6</f>
        <v>46124</v>
      </c>
      <c r="B33" s="121" t="s">
        <v>2</v>
      </c>
      <c r="C33" s="124">
        <f>'Weekly Summary'!B40</f>
        <v>0</v>
      </c>
      <c r="D33" s="124">
        <f>'Weekly Summary'!B41</f>
        <v>0</v>
      </c>
      <c r="E33" s="124">
        <f>'Weekly Summary'!B42</f>
        <v>0</v>
      </c>
      <c r="F33" s="123">
        <f>SUM(D33:E33)</f>
        <v>0</v>
      </c>
      <c r="G33" s="124">
        <f>-'Weekly Summary'!B47</f>
        <v>0</v>
      </c>
      <c r="H33" s="124">
        <f>-'Weekly Summary'!B48</f>
        <v>0</v>
      </c>
      <c r="I33" s="124">
        <f>-'Weekly Summary'!B49</f>
        <v>0</v>
      </c>
      <c r="J33" s="123">
        <f>SUM(F33:I33)</f>
        <v>0</v>
      </c>
      <c r="K33" s="124">
        <f>'Weekly Summary'!B43</f>
        <v>0</v>
      </c>
      <c r="L33" s="125">
        <f>'Weekly Summary'!B44</f>
        <v>0</v>
      </c>
      <c r="M33" s="126">
        <f>SUM(J33:L33)</f>
        <v>0</v>
      </c>
      <c r="N33" s="127">
        <f>'Sun AM'!S18</f>
        <v>0</v>
      </c>
      <c r="O33" s="128">
        <f>'Sun AM'!S19</f>
        <v>0</v>
      </c>
      <c r="P33" t="s">
        <v>210</v>
      </c>
      <c r="R33" t="s">
        <v>214</v>
      </c>
    </row>
    <row r="34" spans="1:18" x14ac:dyDescent="0.2">
      <c r="A34" s="129"/>
      <c r="B34" s="130" t="s">
        <v>112</v>
      </c>
      <c r="C34" s="131">
        <f>'Weekly Summary'!C40</f>
        <v>0</v>
      </c>
      <c r="D34" s="131">
        <f>'Weekly Summary'!C41</f>
        <v>0</v>
      </c>
      <c r="E34" s="131">
        <f>'Weekly Summary'!C42</f>
        <v>0</v>
      </c>
      <c r="F34" s="132">
        <f>SUM(D34:E34)</f>
        <v>0</v>
      </c>
      <c r="G34" s="131">
        <f>-'Weekly Summary'!C47</f>
        <v>0</v>
      </c>
      <c r="H34" s="131">
        <f>-'Weekly Summary'!C48</f>
        <v>0</v>
      </c>
      <c r="I34" s="131">
        <f>-'Weekly Summary'!C49</f>
        <v>0</v>
      </c>
      <c r="J34" s="132">
        <f>SUM(F34:I34)</f>
        <v>0</v>
      </c>
      <c r="K34" s="131">
        <f>'Weekly Summary'!C43</f>
        <v>0</v>
      </c>
      <c r="L34" s="133">
        <f>'Weekly Summary'!C44</f>
        <v>0</v>
      </c>
      <c r="M34" s="126">
        <f>SUM(J34:L34)</f>
        <v>0</v>
      </c>
      <c r="N34" s="157">
        <f>'Sun PM'!S18</f>
        <v>0</v>
      </c>
      <c r="O34" s="158">
        <f>'Sun PM'!S19</f>
        <v>0</v>
      </c>
    </row>
    <row r="35" spans="1:18" x14ac:dyDescent="0.2">
      <c r="A35" s="136"/>
      <c r="B35" s="21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152"/>
      <c r="O35" s="159"/>
    </row>
    <row r="36" spans="1:18" x14ac:dyDescent="0.2">
      <c r="A36" s="139" t="s">
        <v>220</v>
      </c>
      <c r="B36" s="140"/>
      <c r="C36" s="141">
        <f t="shared" ref="C36:M36" si="6">SUM(C33:C35)</f>
        <v>0</v>
      </c>
      <c r="D36" s="141">
        <f t="shared" si="6"/>
        <v>0</v>
      </c>
      <c r="E36" s="141">
        <f t="shared" si="6"/>
        <v>0</v>
      </c>
      <c r="F36" s="141">
        <f t="shared" si="6"/>
        <v>0</v>
      </c>
      <c r="G36" s="141">
        <f t="shared" si="6"/>
        <v>0</v>
      </c>
      <c r="H36" s="141">
        <f t="shared" si="6"/>
        <v>0</v>
      </c>
      <c r="I36" s="141">
        <f t="shared" si="6"/>
        <v>0</v>
      </c>
      <c r="J36" s="141">
        <f t="shared" si="6"/>
        <v>0</v>
      </c>
      <c r="K36" s="141">
        <f t="shared" si="6"/>
        <v>0</v>
      </c>
      <c r="L36" s="141">
        <f t="shared" si="6"/>
        <v>0</v>
      </c>
      <c r="M36" s="160">
        <f t="shared" si="6"/>
        <v>0</v>
      </c>
      <c r="N36" s="154"/>
      <c r="Q36">
        <f>'Sun AM'!S14+'Sun PM'!S14</f>
        <v>0</v>
      </c>
    </row>
    <row r="37" spans="1:18" x14ac:dyDescent="0.2">
      <c r="A37" s="145"/>
      <c r="B37" s="146"/>
      <c r="C37" s="116"/>
      <c r="D37" s="147" t="e">
        <f>D36/C36</f>
        <v>#DIV/0!</v>
      </c>
      <c r="E37" s="116"/>
      <c r="F37" s="116"/>
      <c r="G37" s="116"/>
      <c r="H37" s="116"/>
      <c r="I37" s="116"/>
      <c r="J37" s="116"/>
      <c r="K37" s="116"/>
      <c r="L37" s="116"/>
      <c r="M37" s="117"/>
    </row>
    <row r="38" spans="1:18" x14ac:dyDescent="0.2">
      <c r="A38" s="136"/>
      <c r="B38" s="21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154"/>
      <c r="P38" t="s">
        <v>210</v>
      </c>
    </row>
    <row r="39" spans="1:18" x14ac:dyDescent="0.2">
      <c r="A39" s="161" t="s">
        <v>220</v>
      </c>
      <c r="B39" s="162"/>
      <c r="C39" s="163">
        <f t="shared" ref="C39:M39" si="7">C6+C11+C16+C21+C26+C31+C36</f>
        <v>50293.69</v>
      </c>
      <c r="D39" s="163">
        <f t="shared" si="7"/>
        <v>22889.595000000001</v>
      </c>
      <c r="E39" s="163">
        <f t="shared" si="7"/>
        <v>1804</v>
      </c>
      <c r="F39" s="163">
        <f t="shared" si="7"/>
        <v>24693.595000000001</v>
      </c>
      <c r="G39" s="163">
        <f t="shared" si="7"/>
        <v>-18433.150000000001</v>
      </c>
      <c r="H39" s="163">
        <f t="shared" si="7"/>
        <v>-8911.8799999999992</v>
      </c>
      <c r="I39" s="163">
        <f t="shared" si="7"/>
        <v>-106</v>
      </c>
      <c r="J39" s="163">
        <f t="shared" si="7"/>
        <v>-2757.4350000000018</v>
      </c>
      <c r="K39" s="163">
        <f t="shared" si="7"/>
        <v>382.25</v>
      </c>
      <c r="L39" s="163">
        <f t="shared" si="7"/>
        <v>930.75</v>
      </c>
      <c r="M39" s="164">
        <f t="shared" si="7"/>
        <v>-1444.435000000002</v>
      </c>
      <c r="N39" s="154"/>
    </row>
    <row r="40" spans="1:18" x14ac:dyDescent="0.2">
      <c r="D40" s="165">
        <f>D39/C39</f>
        <v>0.45511862422502702</v>
      </c>
    </row>
    <row r="41" spans="1:18" x14ac:dyDescent="0.2">
      <c r="M41" s="22">
        <f>'Mon AM'!S14+'Mon PM'!S14+'Tues AM'!S14+'Tues PM'!S14+'Wed AM'!S14+'Wed PM'!S14+'Fri AM'!S14+'Thurs PM'!S14+'Thurs AM'!S14+'Fri PM'!S14+'Sat AM'!S14+'Sat PM'!S14+'Sun AM'!S14+'Sun PM'!S14</f>
        <v>-1618</v>
      </c>
    </row>
  </sheetData>
  <mergeCells count="1">
    <mergeCell ref="N1:O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3:O31"/>
  <sheetViews>
    <sheetView workbookViewId="0">
      <selection activeCell="Q18" sqref="Q18"/>
    </sheetView>
  </sheetViews>
  <sheetFormatPr baseColWidth="10" defaultColWidth="8.83203125" defaultRowHeight="15" x14ac:dyDescent="0.2"/>
  <cols>
    <col min="5" max="5" width="11.83203125" customWidth="1"/>
    <col min="10" max="10" width="13" bestFit="1" customWidth="1"/>
    <col min="11" max="11" width="10.5" style="189" bestFit="1" customWidth="1"/>
    <col min="12" max="12" width="11.6640625" bestFit="1" customWidth="1"/>
    <col min="13" max="13" width="11.33203125" bestFit="1" customWidth="1"/>
    <col min="15" max="15" width="10.5" bestFit="1" customWidth="1"/>
  </cols>
  <sheetData>
    <row r="3" spans="2:15" x14ac:dyDescent="0.2">
      <c r="J3" t="s">
        <v>4</v>
      </c>
      <c r="K3" s="189" t="s">
        <v>228</v>
      </c>
    </row>
    <row r="4" spans="2:15" x14ac:dyDescent="0.2">
      <c r="B4" s="175">
        <v>1</v>
      </c>
      <c r="C4" s="176" t="s">
        <v>229</v>
      </c>
      <c r="D4" s="177">
        <v>100</v>
      </c>
      <c r="E4" s="178">
        <f t="shared" ref="E4:E9" si="0">B4*D4</f>
        <v>100</v>
      </c>
      <c r="J4" t="s">
        <v>64</v>
      </c>
      <c r="K4" s="189">
        <v>332</v>
      </c>
      <c r="O4" s="207"/>
    </row>
    <row r="5" spans="2:15" x14ac:dyDescent="0.2">
      <c r="B5" s="179">
        <v>18</v>
      </c>
      <c r="C5" s="1" t="s">
        <v>229</v>
      </c>
      <c r="D5" s="36">
        <v>50</v>
      </c>
      <c r="E5" s="180">
        <f t="shared" si="0"/>
        <v>900</v>
      </c>
      <c r="J5" t="s">
        <v>95</v>
      </c>
      <c r="K5" s="189">
        <v>306</v>
      </c>
      <c r="O5" s="207" t="s">
        <v>44</v>
      </c>
    </row>
    <row r="6" spans="2:15" x14ac:dyDescent="0.2">
      <c r="B6" s="179">
        <v>68</v>
      </c>
      <c r="C6" s="1" t="s">
        <v>229</v>
      </c>
      <c r="D6" s="36">
        <v>20</v>
      </c>
      <c r="E6" s="180">
        <f t="shared" si="0"/>
        <v>1360</v>
      </c>
      <c r="J6" t="s">
        <v>119</v>
      </c>
      <c r="K6" s="189">
        <v>238</v>
      </c>
      <c r="O6" s="207" t="s">
        <v>48</v>
      </c>
    </row>
    <row r="7" spans="2:15" x14ac:dyDescent="0.2">
      <c r="B7" s="179">
        <v>1</v>
      </c>
      <c r="C7" s="1" t="s">
        <v>229</v>
      </c>
      <c r="D7" s="36">
        <v>10</v>
      </c>
      <c r="E7" s="180">
        <f t="shared" si="0"/>
        <v>10</v>
      </c>
      <c r="J7" t="s">
        <v>48</v>
      </c>
      <c r="K7" s="189">
        <v>236</v>
      </c>
      <c r="O7" s="207" t="s">
        <v>119</v>
      </c>
    </row>
    <row r="8" spans="2:15" x14ac:dyDescent="0.2">
      <c r="B8" s="179"/>
      <c r="C8" s="1" t="s">
        <v>229</v>
      </c>
      <c r="D8" s="36">
        <v>5</v>
      </c>
      <c r="E8" s="180">
        <f t="shared" si="0"/>
        <v>0</v>
      </c>
      <c r="J8" t="s">
        <v>76</v>
      </c>
      <c r="K8" s="189">
        <v>232</v>
      </c>
      <c r="O8" s="207" t="s">
        <v>95</v>
      </c>
    </row>
    <row r="9" spans="2:15" x14ac:dyDescent="0.2">
      <c r="B9" s="181">
        <v>4</v>
      </c>
      <c r="C9" s="143" t="s">
        <v>229</v>
      </c>
      <c r="D9" s="182">
        <v>1</v>
      </c>
      <c r="E9" s="183">
        <f t="shared" si="0"/>
        <v>4</v>
      </c>
      <c r="J9" t="s">
        <v>139</v>
      </c>
      <c r="K9" s="189">
        <v>184</v>
      </c>
      <c r="O9" s="207" t="s">
        <v>81</v>
      </c>
    </row>
    <row r="10" spans="2:15" x14ac:dyDescent="0.2">
      <c r="E10" s="36"/>
      <c r="J10" t="s">
        <v>68</v>
      </c>
      <c r="K10" s="189">
        <v>177</v>
      </c>
      <c r="O10" s="207" t="s">
        <v>68</v>
      </c>
    </row>
    <row r="11" spans="2:15" x14ac:dyDescent="0.2">
      <c r="B11" s="236" t="s">
        <v>57</v>
      </c>
      <c r="C11" s="237"/>
      <c r="D11" s="237"/>
      <c r="E11" s="184">
        <f>SUM(E4:E9)</f>
        <v>2374</v>
      </c>
      <c r="J11" t="s">
        <v>81</v>
      </c>
      <c r="K11" s="189">
        <v>96</v>
      </c>
      <c r="O11" s="207" t="s">
        <v>149</v>
      </c>
    </row>
    <row r="12" spans="2:15" x14ac:dyDescent="0.2">
      <c r="J12" t="s">
        <v>44</v>
      </c>
      <c r="K12" s="189">
        <v>75</v>
      </c>
      <c r="O12" s="207" t="s">
        <v>53</v>
      </c>
    </row>
    <row r="13" spans="2:15" x14ac:dyDescent="0.2">
      <c r="E13" s="22">
        <f>'Weekly Gross'!M41</f>
        <v>-1618</v>
      </c>
      <c r="J13" t="s">
        <v>149</v>
      </c>
      <c r="K13" s="189">
        <v>33</v>
      </c>
      <c r="O13" t="s">
        <v>64</v>
      </c>
    </row>
    <row r="14" spans="2:15" x14ac:dyDescent="0.2">
      <c r="J14" t="s">
        <v>53</v>
      </c>
      <c r="K14" s="189">
        <v>10</v>
      </c>
      <c r="O14" t="s">
        <v>100</v>
      </c>
    </row>
    <row r="15" spans="2:15" x14ac:dyDescent="0.2">
      <c r="E15" s="22">
        <f>E13-E11</f>
        <v>-3992</v>
      </c>
      <c r="O15" t="s">
        <v>139</v>
      </c>
    </row>
    <row r="16" spans="2:15" x14ac:dyDescent="0.2">
      <c r="G16" t="s">
        <v>210</v>
      </c>
      <c r="O16" t="s">
        <v>76</v>
      </c>
    </row>
    <row r="17" spans="2:15" x14ac:dyDescent="0.2">
      <c r="O17" t="s">
        <v>85</v>
      </c>
    </row>
    <row r="18" spans="2:15" x14ac:dyDescent="0.2">
      <c r="O18" t="s">
        <v>107</v>
      </c>
    </row>
    <row r="19" spans="2:15" x14ac:dyDescent="0.2">
      <c r="F19" t="s">
        <v>230</v>
      </c>
    </row>
    <row r="20" spans="2:15" x14ac:dyDescent="0.2">
      <c r="M20" s="22">
        <f>K31+E15</f>
        <v>-2073</v>
      </c>
    </row>
    <row r="21" spans="2:15" x14ac:dyDescent="0.2">
      <c r="B21" s="175">
        <v>1</v>
      </c>
      <c r="C21" s="176" t="s">
        <v>229</v>
      </c>
      <c r="D21" s="177">
        <v>100</v>
      </c>
      <c r="E21" s="178">
        <f t="shared" ref="E21:E26" si="1">B21*D21</f>
        <v>100</v>
      </c>
    </row>
    <row r="22" spans="2:15" x14ac:dyDescent="0.2">
      <c r="B22" s="179">
        <v>18</v>
      </c>
      <c r="C22" s="1" t="s">
        <v>229</v>
      </c>
      <c r="D22" s="36">
        <v>50</v>
      </c>
      <c r="E22" s="180">
        <f t="shared" si="1"/>
        <v>900</v>
      </c>
    </row>
    <row r="23" spans="2:15" x14ac:dyDescent="0.2">
      <c r="B23" s="179">
        <v>68</v>
      </c>
      <c r="C23" s="1" t="s">
        <v>229</v>
      </c>
      <c r="D23" s="36">
        <v>20</v>
      </c>
      <c r="E23" s="180">
        <f t="shared" si="1"/>
        <v>1360</v>
      </c>
    </row>
    <row r="24" spans="2:15" x14ac:dyDescent="0.2">
      <c r="B24" s="179">
        <v>1</v>
      </c>
      <c r="C24" s="1" t="s">
        <v>229</v>
      </c>
      <c r="D24" s="36">
        <v>10</v>
      </c>
      <c r="E24" s="180">
        <f t="shared" si="1"/>
        <v>10</v>
      </c>
    </row>
    <row r="25" spans="2:15" x14ac:dyDescent="0.2">
      <c r="B25" s="179"/>
      <c r="C25" s="1" t="s">
        <v>229</v>
      </c>
      <c r="D25" s="36">
        <v>5</v>
      </c>
      <c r="E25" s="180">
        <f t="shared" si="1"/>
        <v>0</v>
      </c>
    </row>
    <row r="26" spans="2:15" x14ac:dyDescent="0.2">
      <c r="B26" s="181">
        <v>4</v>
      </c>
      <c r="C26" s="143" t="s">
        <v>229</v>
      </c>
      <c r="D26" s="182">
        <v>1</v>
      </c>
      <c r="E26" s="183">
        <f t="shared" si="1"/>
        <v>4</v>
      </c>
    </row>
    <row r="27" spans="2:15" x14ac:dyDescent="0.2">
      <c r="E27" s="36"/>
    </row>
    <row r="28" spans="2:15" x14ac:dyDescent="0.2">
      <c r="B28" s="236" t="s">
        <v>57</v>
      </c>
      <c r="C28" s="237"/>
      <c r="D28" s="237"/>
      <c r="E28" s="184">
        <f>SUM(E21:E26)</f>
        <v>2374</v>
      </c>
    </row>
    <row r="31" spans="2:15" x14ac:dyDescent="0.2">
      <c r="K31" s="189">
        <f>SUM(K4:K30)</f>
        <v>1919</v>
      </c>
    </row>
  </sheetData>
  <mergeCells count="2">
    <mergeCell ref="B11:D11"/>
    <mergeCell ref="B28:D28"/>
  </mergeCells>
  <conditionalFormatting sqref="O4:O12">
    <cfRule type="duplicateValues" dxfId="14" priority="55"/>
    <cfRule type="duplicateValues" dxfId="13" priority="56"/>
  </conditionalFormatting>
  <conditionalFormatting sqref="O17">
    <cfRule type="duplicateValues" dxfId="12" priority="1"/>
  </conditionalFormatting>
  <pageMargins left="0.7" right="0.7" top="0.75" bottom="0.75" header="0.3" footer="0.3"/>
  <pageSetup fitToWidth="0" fitToHeight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46"/>
  <sheetViews>
    <sheetView workbookViewId="0">
      <selection activeCell="E15" sqref="E15"/>
    </sheetView>
  </sheetViews>
  <sheetFormatPr baseColWidth="10" defaultColWidth="9.1640625" defaultRowHeight="15" x14ac:dyDescent="0.2"/>
  <cols>
    <col min="1" max="1" width="19" bestFit="1" customWidth="1"/>
    <col min="2" max="2" width="15" bestFit="1" customWidth="1"/>
  </cols>
  <sheetData>
    <row r="1" spans="1:7" ht="19" customHeight="1" x14ac:dyDescent="0.2">
      <c r="A1" s="205" t="s">
        <v>64</v>
      </c>
      <c r="B1" s="206">
        <v>332</v>
      </c>
    </row>
    <row r="2" spans="1:7" ht="19" customHeight="1" x14ac:dyDescent="0.2">
      <c r="A2" s="205" t="s">
        <v>95</v>
      </c>
      <c r="B2" s="206">
        <v>306</v>
      </c>
    </row>
    <row r="3" spans="1:7" ht="19" customHeight="1" x14ac:dyDescent="0.2">
      <c r="A3" s="205" t="s">
        <v>119</v>
      </c>
      <c r="B3" s="206">
        <v>238</v>
      </c>
      <c r="G3" s="207" t="s">
        <v>44</v>
      </c>
    </row>
    <row r="4" spans="1:7" ht="19" customHeight="1" x14ac:dyDescent="0.2">
      <c r="A4" s="205" t="s">
        <v>48</v>
      </c>
      <c r="B4" s="206">
        <v>236</v>
      </c>
      <c r="G4" s="207" t="s">
        <v>48</v>
      </c>
    </row>
    <row r="5" spans="1:7" ht="19" customHeight="1" x14ac:dyDescent="0.2">
      <c r="A5" s="205" t="s">
        <v>76</v>
      </c>
      <c r="B5" s="206">
        <v>232</v>
      </c>
      <c r="G5" s="207" t="s">
        <v>119</v>
      </c>
    </row>
    <row r="6" spans="1:7" ht="19" customHeight="1" x14ac:dyDescent="0.2">
      <c r="A6" s="205" t="s">
        <v>139</v>
      </c>
      <c r="B6" s="206">
        <v>184</v>
      </c>
      <c r="G6" s="207" t="s">
        <v>95</v>
      </c>
    </row>
    <row r="7" spans="1:7" ht="19" customHeight="1" x14ac:dyDescent="0.2">
      <c r="A7" s="205" t="s">
        <v>68</v>
      </c>
      <c r="B7" s="206">
        <v>177</v>
      </c>
      <c r="G7" s="207" t="s">
        <v>81</v>
      </c>
    </row>
    <row r="8" spans="1:7" ht="19" customHeight="1" x14ac:dyDescent="0.2">
      <c r="A8" s="205" t="s">
        <v>81</v>
      </c>
      <c r="B8" s="206">
        <v>96</v>
      </c>
      <c r="G8" s="207" t="s">
        <v>68</v>
      </c>
    </row>
    <row r="9" spans="1:7" ht="19" customHeight="1" x14ac:dyDescent="0.2">
      <c r="A9" s="205" t="s">
        <v>44</v>
      </c>
      <c r="B9" s="206">
        <v>75</v>
      </c>
      <c r="G9" s="207" t="s">
        <v>149</v>
      </c>
    </row>
    <row r="10" spans="1:7" ht="19" customHeight="1" x14ac:dyDescent="0.2">
      <c r="A10" s="205" t="s">
        <v>149</v>
      </c>
      <c r="B10" s="206">
        <v>33</v>
      </c>
      <c r="G10" s="207" t="s">
        <v>53</v>
      </c>
    </row>
    <row r="11" spans="1:7" ht="19" customHeight="1" x14ac:dyDescent="0.2">
      <c r="A11" s="205" t="s">
        <v>53</v>
      </c>
      <c r="B11" s="206">
        <v>10</v>
      </c>
      <c r="G11" t="s">
        <v>64</v>
      </c>
    </row>
    <row r="12" spans="1:7" ht="19" customHeight="1" x14ac:dyDescent="0.2">
      <c r="A12" s="205" t="s">
        <v>200</v>
      </c>
      <c r="B12" s="206">
        <v>972</v>
      </c>
      <c r="G12" t="s">
        <v>100</v>
      </c>
    </row>
    <row r="13" spans="1:7" ht="19" customHeight="1" x14ac:dyDescent="0.2">
      <c r="A13" s="205" t="s">
        <v>41</v>
      </c>
      <c r="B13" s="206">
        <v>406</v>
      </c>
      <c r="G13" t="s">
        <v>139</v>
      </c>
    </row>
    <row r="14" spans="1:7" ht="19" customHeight="1" x14ac:dyDescent="0.2">
      <c r="A14" s="205" t="s">
        <v>88</v>
      </c>
      <c r="B14" s="206">
        <v>295</v>
      </c>
      <c r="G14" t="s">
        <v>76</v>
      </c>
    </row>
    <row r="15" spans="1:7" ht="19" customHeight="1" x14ac:dyDescent="0.2">
      <c r="A15" s="205" t="s">
        <v>72</v>
      </c>
      <c r="B15" s="206">
        <v>268</v>
      </c>
      <c r="G15" t="s">
        <v>85</v>
      </c>
    </row>
    <row r="16" spans="1:7" ht="19" customHeight="1" x14ac:dyDescent="0.2">
      <c r="A16" s="205" t="s">
        <v>24</v>
      </c>
      <c r="B16" s="206">
        <v>238</v>
      </c>
    </row>
    <row r="17" spans="1:2" ht="19" customHeight="1" x14ac:dyDescent="0.2">
      <c r="A17" s="205" t="s">
        <v>201</v>
      </c>
      <c r="B17" s="206">
        <v>206</v>
      </c>
    </row>
    <row r="18" spans="1:2" ht="19" customHeight="1" x14ac:dyDescent="0.2">
      <c r="A18" s="205" t="s">
        <v>96</v>
      </c>
      <c r="B18" s="206">
        <v>205</v>
      </c>
    </row>
    <row r="19" spans="1:2" ht="19" customHeight="1" x14ac:dyDescent="0.2">
      <c r="A19" s="205" t="s">
        <v>26</v>
      </c>
      <c r="B19" s="206">
        <v>178</v>
      </c>
    </row>
    <row r="20" spans="1:2" ht="19" customHeight="1" x14ac:dyDescent="0.2">
      <c r="A20" s="205" t="s">
        <v>126</v>
      </c>
      <c r="B20" s="206">
        <v>177</v>
      </c>
    </row>
    <row r="21" spans="1:2" ht="19" customHeight="1" x14ac:dyDescent="0.2">
      <c r="A21" s="205" t="s">
        <v>122</v>
      </c>
      <c r="B21" s="206">
        <v>169</v>
      </c>
    </row>
    <row r="22" spans="1:2" ht="19" customHeight="1" x14ac:dyDescent="0.2">
      <c r="A22" s="205" t="s">
        <v>153</v>
      </c>
      <c r="B22" s="206">
        <v>147</v>
      </c>
    </row>
    <row r="23" spans="1:2" ht="19" customHeight="1" x14ac:dyDescent="0.2">
      <c r="A23" s="205" t="s">
        <v>34</v>
      </c>
      <c r="B23" s="206">
        <v>145</v>
      </c>
    </row>
    <row r="24" spans="1:2" ht="19" customHeight="1" x14ac:dyDescent="0.2">
      <c r="A24" s="205" t="s">
        <v>124</v>
      </c>
      <c r="B24" s="206">
        <v>131</v>
      </c>
    </row>
    <row r="25" spans="1:2" ht="19" customHeight="1" x14ac:dyDescent="0.2">
      <c r="A25" s="205" t="s">
        <v>66</v>
      </c>
      <c r="B25" s="206">
        <v>112</v>
      </c>
    </row>
    <row r="26" spans="1:2" ht="19" customHeight="1" x14ac:dyDescent="0.2">
      <c r="A26" s="205" t="s">
        <v>36</v>
      </c>
      <c r="B26" s="206">
        <v>101</v>
      </c>
    </row>
    <row r="27" spans="1:2" ht="19" customHeight="1" x14ac:dyDescent="0.2">
      <c r="A27" s="205" t="s">
        <v>62</v>
      </c>
      <c r="B27" s="206">
        <v>100</v>
      </c>
    </row>
    <row r="28" spans="1:2" ht="19" customHeight="1" x14ac:dyDescent="0.2">
      <c r="A28" s="205" t="s">
        <v>141</v>
      </c>
      <c r="B28" s="206">
        <v>94</v>
      </c>
    </row>
    <row r="29" spans="1:2" ht="19" customHeight="1" x14ac:dyDescent="0.2">
      <c r="A29" s="205" t="s">
        <v>143</v>
      </c>
      <c r="B29" s="206">
        <v>93</v>
      </c>
    </row>
    <row r="30" spans="1:2" ht="19" customHeight="1" x14ac:dyDescent="0.2">
      <c r="A30" s="205" t="s">
        <v>199</v>
      </c>
      <c r="B30" s="206">
        <v>80</v>
      </c>
    </row>
    <row r="31" spans="1:2" ht="19" customHeight="1" x14ac:dyDescent="0.2">
      <c r="A31" s="205" t="s">
        <v>80</v>
      </c>
      <c r="B31" s="206">
        <v>71</v>
      </c>
    </row>
    <row r="32" spans="1:2" ht="19" customHeight="1" x14ac:dyDescent="0.2">
      <c r="A32" s="205" t="s">
        <v>135</v>
      </c>
      <c r="B32" s="206">
        <v>65</v>
      </c>
    </row>
    <row r="33" spans="1:2" ht="19" customHeight="1" x14ac:dyDescent="0.2">
      <c r="A33" s="205" t="s">
        <v>60</v>
      </c>
      <c r="B33" s="206">
        <v>64</v>
      </c>
    </row>
    <row r="34" spans="1:2" ht="19" customHeight="1" x14ac:dyDescent="0.2">
      <c r="A34" s="205" t="s">
        <v>125</v>
      </c>
      <c r="B34" s="206">
        <v>62</v>
      </c>
    </row>
    <row r="35" spans="1:2" ht="19" customHeight="1" x14ac:dyDescent="0.2">
      <c r="A35" s="205" t="s">
        <v>28</v>
      </c>
      <c r="B35" s="206">
        <v>55</v>
      </c>
    </row>
    <row r="36" spans="1:2" ht="19" customHeight="1" x14ac:dyDescent="0.2">
      <c r="A36" s="205" t="s">
        <v>90</v>
      </c>
      <c r="B36" s="206">
        <v>55</v>
      </c>
    </row>
    <row r="37" spans="1:2" ht="19" customHeight="1" x14ac:dyDescent="0.2">
      <c r="A37" s="205" t="s">
        <v>116</v>
      </c>
      <c r="B37" s="206">
        <v>51</v>
      </c>
    </row>
    <row r="38" spans="1:2" ht="19" customHeight="1" x14ac:dyDescent="0.2">
      <c r="A38" s="205" t="s">
        <v>21</v>
      </c>
      <c r="B38" s="206">
        <v>48</v>
      </c>
    </row>
    <row r="39" spans="1:2" ht="19" customHeight="1" x14ac:dyDescent="0.2">
      <c r="A39" s="205" t="s">
        <v>231</v>
      </c>
      <c r="B39" s="206">
        <v>33</v>
      </c>
    </row>
    <row r="40" spans="1:2" ht="19" customHeight="1" x14ac:dyDescent="0.2">
      <c r="A40" s="205" t="s">
        <v>18</v>
      </c>
      <c r="B40" s="206">
        <v>28</v>
      </c>
    </row>
    <row r="41" spans="1:2" ht="19" customHeight="1" x14ac:dyDescent="0.2">
      <c r="A41" s="205" t="s">
        <v>191</v>
      </c>
      <c r="B41" s="206">
        <v>16</v>
      </c>
    </row>
    <row r="42" spans="1:2" ht="19" customHeight="1" x14ac:dyDescent="0.2">
      <c r="A42" s="205" t="s">
        <v>98</v>
      </c>
      <c r="B42" s="206">
        <v>13</v>
      </c>
    </row>
    <row r="43" spans="1:2" ht="19" customHeight="1" x14ac:dyDescent="0.2">
      <c r="A43" s="205" t="s">
        <v>137</v>
      </c>
      <c r="B43" s="206">
        <v>13</v>
      </c>
    </row>
    <row r="44" spans="1:2" ht="19" customHeight="1" x14ac:dyDescent="0.2">
      <c r="A44" s="205" t="s">
        <v>121</v>
      </c>
      <c r="B44" s="206">
        <v>12</v>
      </c>
    </row>
    <row r="45" spans="1:2" ht="19" customHeight="1" x14ac:dyDescent="0.2">
      <c r="A45" s="205" t="s">
        <v>107</v>
      </c>
      <c r="B45" s="206">
        <v>4</v>
      </c>
    </row>
    <row r="46" spans="1:2" ht="19" customHeight="1" x14ac:dyDescent="0.2">
      <c r="A46" s="205" t="s">
        <v>56</v>
      </c>
      <c r="B46" s="206">
        <v>0</v>
      </c>
    </row>
  </sheetData>
  <conditionalFormatting sqref="A1:A1048576 G1:G1048576">
    <cfRule type="duplicateValues" dxfId="11" priority="1"/>
  </conditionalFormatting>
  <conditionalFormatting sqref="G3:G10">
    <cfRule type="duplicateValues" dxfId="10" priority="20"/>
    <cfRule type="duplicateValues" dxfId="9" priority="21"/>
  </conditionalFormatting>
  <conditionalFormatting sqref="G3:G15">
    <cfRule type="duplicateValues" dxfId="8" priority="2"/>
    <cfRule type="duplicateValues" dxfId="7" priority="10"/>
    <cfRule type="duplicateValues" dxfId="6" priority="11"/>
    <cfRule type="duplicateValues" dxfId="5" priority="13"/>
    <cfRule type="duplicateValues" dxfId="4" priority="14"/>
    <cfRule type="duplicateValues" dxfId="3" priority="18"/>
  </conditionalFormatting>
  <conditionalFormatting sqref="G15">
    <cfRule type="duplicateValues" dxfId="2" priority="19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E26"/>
  <sheetViews>
    <sheetView workbookViewId="0">
      <selection activeCell="C31" sqref="C31"/>
    </sheetView>
  </sheetViews>
  <sheetFormatPr baseColWidth="10" defaultColWidth="8.83203125" defaultRowHeight="15" x14ac:dyDescent="0.2"/>
  <cols>
    <col min="1" max="1" width="20" bestFit="1" customWidth="1"/>
    <col min="2" max="2" width="5" customWidth="1"/>
    <col min="3" max="3" width="13" bestFit="1" customWidth="1"/>
    <col min="4" max="4" width="10.5" customWidth="1"/>
    <col min="5" max="5" width="11" style="18" bestFit="1" customWidth="1"/>
    <col min="6" max="6" width="19.33203125" bestFit="1" customWidth="1"/>
  </cols>
  <sheetData>
    <row r="2" spans="1:5" x14ac:dyDescent="0.2">
      <c r="C2" s="196" t="s">
        <v>4</v>
      </c>
      <c r="D2" s="196" t="s">
        <v>228</v>
      </c>
      <c r="E2" s="196"/>
    </row>
    <row r="3" spans="1:5" x14ac:dyDescent="0.2">
      <c r="C3" s="190" t="s">
        <v>64</v>
      </c>
      <c r="D3" s="199">
        <v>332</v>
      </c>
      <c r="E3" s="238" t="s">
        <v>232</v>
      </c>
    </row>
    <row r="4" spans="1:5" x14ac:dyDescent="0.2">
      <c r="C4" s="190" t="s">
        <v>95</v>
      </c>
      <c r="D4" s="199">
        <v>306</v>
      </c>
      <c r="E4" s="239"/>
    </row>
    <row r="5" spans="1:5" x14ac:dyDescent="0.2">
      <c r="C5" s="190" t="s">
        <v>119</v>
      </c>
      <c r="D5" s="199">
        <v>238</v>
      </c>
      <c r="E5" s="239"/>
    </row>
    <row r="6" spans="1:5" x14ac:dyDescent="0.2">
      <c r="A6" s="208"/>
      <c r="C6" s="190" t="s">
        <v>48</v>
      </c>
      <c r="D6" s="199">
        <v>236</v>
      </c>
      <c r="E6" s="239"/>
    </row>
    <row r="7" spans="1:5" x14ac:dyDescent="0.2">
      <c r="A7" s="204"/>
      <c r="B7" s="201"/>
      <c r="C7" s="190" t="s">
        <v>76</v>
      </c>
      <c r="D7" s="202">
        <v>232</v>
      </c>
      <c r="E7" s="239"/>
    </row>
    <row r="8" spans="1:5" x14ac:dyDescent="0.2">
      <c r="A8" s="208"/>
      <c r="C8" s="190" t="s">
        <v>139</v>
      </c>
      <c r="D8" s="199">
        <v>184</v>
      </c>
      <c r="E8" s="239"/>
    </row>
    <row r="9" spans="1:5" x14ac:dyDescent="0.2">
      <c r="A9" s="208"/>
      <c r="C9" s="190" t="s">
        <v>68</v>
      </c>
      <c r="D9" s="199">
        <v>177</v>
      </c>
      <c r="E9" s="239"/>
    </row>
    <row r="10" spans="1:5" x14ac:dyDescent="0.2">
      <c r="A10" s="201"/>
      <c r="B10" s="201"/>
      <c r="C10" s="190" t="s">
        <v>81</v>
      </c>
      <c r="D10" s="202">
        <v>96</v>
      </c>
      <c r="E10" s="239"/>
    </row>
    <row r="11" spans="1:5" x14ac:dyDescent="0.2">
      <c r="A11" s="18"/>
      <c r="B11" s="208"/>
      <c r="C11" s="190" t="s">
        <v>44</v>
      </c>
      <c r="D11" s="199">
        <v>75</v>
      </c>
      <c r="E11" s="239"/>
    </row>
    <row r="12" spans="1:5" x14ac:dyDescent="0.2">
      <c r="A12" s="18"/>
      <c r="B12" s="208"/>
      <c r="C12" s="190" t="s">
        <v>149</v>
      </c>
      <c r="D12" s="199">
        <v>33</v>
      </c>
      <c r="E12" s="239"/>
    </row>
    <row r="13" spans="1:5" x14ac:dyDescent="0.2">
      <c r="A13" s="18"/>
      <c r="B13" s="208"/>
      <c r="C13" s="190" t="s">
        <v>53</v>
      </c>
      <c r="D13" s="199">
        <v>10</v>
      </c>
      <c r="E13" s="239"/>
    </row>
    <row r="14" spans="1:5" x14ac:dyDescent="0.2">
      <c r="A14" s="18"/>
      <c r="B14" s="208"/>
      <c r="C14" s="190"/>
      <c r="D14" s="199"/>
      <c r="E14" s="239"/>
    </row>
    <row r="15" spans="1:5" x14ac:dyDescent="0.2">
      <c r="A15" s="18"/>
      <c r="B15" s="208"/>
      <c r="C15" s="190"/>
      <c r="D15" s="199"/>
      <c r="E15" s="239"/>
    </row>
    <row r="16" spans="1:5" x14ac:dyDescent="0.2">
      <c r="A16" s="18"/>
      <c r="B16" s="208"/>
      <c r="C16" s="190"/>
      <c r="D16" s="199"/>
      <c r="E16" s="240"/>
    </row>
    <row r="17" spans="1:5" x14ac:dyDescent="0.2">
      <c r="A17" s="18"/>
      <c r="B17" s="208"/>
      <c r="C17" s="197"/>
      <c r="D17" s="198"/>
      <c r="E17" s="203"/>
    </row>
    <row r="18" spans="1:5" x14ac:dyDescent="0.2">
      <c r="C18" s="190"/>
      <c r="D18" s="199"/>
      <c r="E18" s="238" t="s">
        <v>233</v>
      </c>
    </row>
    <row r="19" spans="1:5" x14ac:dyDescent="0.2">
      <c r="C19" s="190"/>
      <c r="D19" s="199"/>
      <c r="E19" s="239"/>
    </row>
    <row r="20" spans="1:5" x14ac:dyDescent="0.2">
      <c r="C20" s="190"/>
      <c r="D20" s="199"/>
      <c r="E20" s="239"/>
    </row>
    <row r="21" spans="1:5" x14ac:dyDescent="0.2">
      <c r="C21" s="190"/>
      <c r="D21" s="199"/>
      <c r="E21" s="239"/>
    </row>
    <row r="22" spans="1:5" x14ac:dyDescent="0.2">
      <c r="C22" s="190"/>
      <c r="D22" s="199"/>
      <c r="E22" s="239"/>
    </row>
    <row r="23" spans="1:5" x14ac:dyDescent="0.2">
      <c r="C23" s="190"/>
      <c r="D23" s="199"/>
      <c r="E23" s="239"/>
    </row>
    <row r="24" spans="1:5" x14ac:dyDescent="0.2">
      <c r="C24" s="190"/>
      <c r="D24" s="199"/>
      <c r="E24" s="240"/>
    </row>
    <row r="26" spans="1:5" x14ac:dyDescent="0.2">
      <c r="D26" s="200">
        <f>SUM(D1:D25)</f>
        <v>1919</v>
      </c>
    </row>
  </sheetData>
  <mergeCells count="2">
    <mergeCell ref="E3:E16"/>
    <mergeCell ref="E18:E24"/>
  </mergeCells>
  <conditionalFormatting sqref="C3:C16">
    <cfRule type="duplicateValues" dxfId="1" priority="93"/>
  </conditionalFormatting>
  <conditionalFormatting sqref="C17">
    <cfRule type="duplicateValues" dxfId="0" priority="91"/>
  </conditionalFormatting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Mon AM</vt:lpstr>
      <vt:lpstr>Mon PM</vt:lpstr>
      <vt:lpstr>Tues AM</vt:lpstr>
      <vt:lpstr>Tues PM</vt:lpstr>
      <vt:lpstr>Wed AM</vt:lpstr>
      <vt:lpstr>Wed PM</vt:lpstr>
      <vt:lpstr>Thurs AM</vt:lpstr>
      <vt:lpstr>Thurs PM</vt:lpstr>
      <vt:lpstr>Fri AM</vt:lpstr>
      <vt:lpstr>Fri PM</vt:lpstr>
      <vt:lpstr>Sat AM</vt:lpstr>
      <vt:lpstr>Sat PM</vt:lpstr>
      <vt:lpstr>Sun AM</vt:lpstr>
      <vt:lpstr>Sun PM</vt:lpstr>
      <vt:lpstr>Weekly Summary</vt:lpstr>
      <vt:lpstr>Weekly Gross</vt:lpstr>
      <vt:lpstr>Sheet1</vt:lpstr>
      <vt:lpstr>Sheet2</vt:lpstr>
      <vt:lpstr>Sheet3</vt:lpstr>
      <vt:lpstr>Sheet1!Print_Area</vt:lpstr>
      <vt:lpstr>Sheet3!Print_Area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Muhannad Jaber</cp:lastModifiedBy>
  <dcterms:created xsi:type="dcterms:W3CDTF">2019-02-12T14:47:47Z</dcterms:created>
  <dcterms:modified xsi:type="dcterms:W3CDTF">2026-04-15T02:45:53Z</dcterms:modified>
</cp:coreProperties>
</file>